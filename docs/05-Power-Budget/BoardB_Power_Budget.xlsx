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ower Budget" sheetId="1" state="visible" r:id="rId1"/>
  </sheets>
  <definedNames>
    <definedName name="_xlnm.Print_Area" localSheetId="0">'Power Budget'!$A$1:$H$75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0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color rgb="FF000000"/>
      <sz val="24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  <font>
      <name val="Calibri"/>
      <charset val="1"/>
      <family val="2"/>
      <b val="1"/>
      <i val="1"/>
      <color rgb="FF000000"/>
      <sz val="12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theme="8" tint="0.5999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FFFFFF"/>
      </patternFill>
    </fill>
    <fill>
      <patternFill patternType="solid">
        <fgColor rgb="FFFFFFFF"/>
        <bgColor rgb="FFEEECE1"/>
      </patternFill>
    </fill>
  </fills>
  <borders count="5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double"/>
      <diagonal/>
    </border>
    <border>
      <left/>
      <right/>
      <top style="thin"/>
      <bottom/>
      <diagonal/>
    </border>
    <border>
      <left style="thin"/>
      <right style="thin"/>
      <top/>
      <bottom/>
      <diagonal/>
    </border>
    <border>
      <left/>
      <right style="thin"/>
      <top style="double"/>
      <bottom/>
      <diagonal/>
    </border>
    <border>
      <left style="thin"/>
      <right style="thin"/>
      <top style="double"/>
      <bottom style="thin"/>
      <diagonal/>
    </border>
    <border>
      <left/>
      <right style="thin"/>
      <top/>
      <bottom/>
      <diagonal/>
    </border>
    <border>
      <left/>
      <right/>
      <top style="thin"/>
      <bottom style="thin"/>
      <diagonal/>
    </border>
    <border>
      <left/>
      <right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thin"/>
      <right style="medium"/>
      <top style="thin"/>
      <bottom style="double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 style="medium"/>
      <diagonal/>
    </border>
    <border>
      <left/>
      <right style="thin"/>
      <top style="double"/>
      <bottom style="medium"/>
      <diagonal/>
    </border>
    <border>
      <left style="medium"/>
      <right style="thin"/>
      <top style="thin"/>
      <bottom style="double"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  <border>
      <left/>
      <right/>
      <top style="double"/>
      <bottom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thin"/>
      <top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 wrapText="1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general" vertical="bottom"/>
    </xf>
    <xf numFmtId="0" fontId="4" fillId="0" borderId="5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4" fillId="0" borderId="8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49" fontId="4" fillId="0" borderId="1" applyAlignment="1" pivotButton="0" quotePrefix="0" xfId="0">
      <alignment horizontal="center" vertical="bottom"/>
    </xf>
    <xf numFmtId="0" fontId="4" fillId="0" borderId="10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center" vertical="bottom"/>
    </xf>
    <xf numFmtId="0" fontId="4" fillId="0" borderId="11" applyAlignment="1" pivotButton="0" quotePrefix="0" xfId="0">
      <alignment horizontal="center" vertical="bottom"/>
    </xf>
    <xf numFmtId="0" fontId="6" fillId="0" borderId="4" applyAlignment="1" pivotButton="0" quotePrefix="0" xfId="0">
      <alignment horizontal="general" vertical="bottom"/>
    </xf>
    <xf numFmtId="0" fontId="6" fillId="0" borderId="12" applyAlignment="1" pivotButton="0" quotePrefix="0" xfId="0">
      <alignment horizontal="center" vertical="bottom"/>
    </xf>
    <xf numFmtId="0" fontId="8" fillId="4" borderId="2" applyAlignment="1" pivotButton="0" quotePrefix="0" xfId="0">
      <alignment horizontal="general" vertical="center"/>
    </xf>
    <xf numFmtId="0" fontId="4" fillId="0" borderId="13" applyAlignment="1" pivotButton="0" quotePrefix="0" xfId="0">
      <alignment horizontal="general" vertical="bottom"/>
    </xf>
    <xf numFmtId="0" fontId="4" fillId="0" borderId="13" applyAlignment="1" pivotButton="0" quotePrefix="0" xfId="0">
      <alignment horizontal="center" vertical="bottom"/>
    </xf>
    <xf numFmtId="0" fontId="4" fillId="0" borderId="14" applyAlignment="1" pivotButton="0" quotePrefix="0" xfId="0">
      <alignment horizontal="general" vertical="bottom"/>
    </xf>
    <xf numFmtId="0" fontId="4" fillId="0" borderId="14" applyAlignment="1" pivotButton="0" quotePrefix="0" xfId="0">
      <alignment horizontal="center" vertical="bottom"/>
    </xf>
    <xf numFmtId="0" fontId="8" fillId="0" borderId="13" applyAlignment="1" pivotButton="0" quotePrefix="0" xfId="0">
      <alignment horizontal="right" vertical="bottom"/>
    </xf>
    <xf numFmtId="0" fontId="8" fillId="0" borderId="14" applyAlignment="1" pivotButton="0" quotePrefix="0" xfId="0">
      <alignment horizontal="right" vertical="bottom"/>
    </xf>
    <xf numFmtId="9" fontId="4" fillId="0" borderId="14" applyAlignment="1" pivotButton="0" quotePrefix="0" xfId="0">
      <alignment horizontal="center" vertical="bottom"/>
    </xf>
    <xf numFmtId="0" fontId="8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0" fontId="4" fillId="0" borderId="15" applyAlignment="1" pivotButton="0" quotePrefix="0" xfId="0">
      <alignment horizontal="center" vertical="bottom"/>
    </xf>
    <xf numFmtId="0" fontId="8" fillId="0" borderId="14" applyAlignment="1" pivotButton="0" quotePrefix="0" xfId="0">
      <alignment horizontal="left" vertical="bottom" wrapText="1"/>
    </xf>
    <xf numFmtId="0" fontId="4" fillId="0" borderId="14" applyAlignment="1" pivotButton="0" quotePrefix="0" xfId="0">
      <alignment horizontal="left" vertical="bottom"/>
    </xf>
    <xf numFmtId="0" fontId="8" fillId="0" borderId="0" applyAlignment="1" pivotButton="0" quotePrefix="0" xfId="0">
      <alignment horizontal="left" vertical="bottom"/>
    </xf>
    <xf numFmtId="49" fontId="8" fillId="0" borderId="13" applyAlignment="1" pivotButton="0" quotePrefix="0" xfId="0">
      <alignment horizontal="right" vertical="bottom"/>
    </xf>
    <xf numFmtId="49" fontId="8" fillId="0" borderId="0" applyAlignment="1" pivotButton="0" quotePrefix="0" xfId="0">
      <alignment horizontal="right" vertical="bottom"/>
    </xf>
    <xf numFmtId="0" fontId="8" fillId="4" borderId="3" applyAlignment="1" pivotButton="0" quotePrefix="0" xfId="0">
      <alignment horizontal="general" vertical="center"/>
    </xf>
    <xf numFmtId="0" fontId="4" fillId="0" borderId="16" applyAlignment="1" pivotButton="0" quotePrefix="0" xfId="0">
      <alignment horizontal="center" vertical="bottom"/>
    </xf>
    <xf numFmtId="0" fontId="8" fillId="0" borderId="14" applyAlignment="1" pivotButton="0" quotePrefix="0" xfId="0">
      <alignment horizontal="left" vertical="bottom"/>
    </xf>
    <xf numFmtId="0" fontId="8" fillId="0" borderId="0" applyAlignment="1" pivotButton="0" quotePrefix="0" xfId="0">
      <alignment horizontal="left" vertical="center"/>
    </xf>
    <xf numFmtId="49" fontId="8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4" fillId="0" borderId="17" applyAlignment="1" pivotButton="0" quotePrefix="0" xfId="0">
      <alignment horizontal="general" vertical="bottom"/>
    </xf>
    <xf numFmtId="0" fontId="8" fillId="0" borderId="18" applyAlignment="1" pivotButton="0" quotePrefix="0" xfId="0">
      <alignment horizontal="right" vertical="bottom"/>
    </xf>
    <xf numFmtId="0" fontId="4" fillId="0" borderId="19" applyAlignment="1" pivotButton="0" quotePrefix="0" xfId="0">
      <alignment horizontal="general" vertical="bottom"/>
    </xf>
    <xf numFmtId="0" fontId="4" fillId="0" borderId="12" applyAlignment="1" pivotButton="0" quotePrefix="0" xfId="0">
      <alignment horizontal="general" vertical="bottom"/>
    </xf>
    <xf numFmtId="0" fontId="4" fillId="0" borderId="20" applyAlignment="1" pivotButton="0" quotePrefix="0" xfId="0">
      <alignment horizontal="center" vertical="bottom"/>
    </xf>
    <xf numFmtId="0" fontId="8" fillId="0" borderId="14" applyAlignment="1" pivotButton="0" quotePrefix="0" xfId="0">
      <alignment horizontal="left" vertical="center"/>
    </xf>
    <xf numFmtId="0" fontId="4" fillId="0" borderId="14" applyAlignment="1" pivotButton="0" quotePrefix="0" xfId="0">
      <alignment horizontal="general" vertical="center" wrapText="1"/>
    </xf>
    <xf numFmtId="0" fontId="4" fillId="0" borderId="14" applyAlignment="1" pivotButton="0" quotePrefix="0" xfId="0">
      <alignment horizontal="general" vertical="center"/>
    </xf>
    <xf numFmtId="0" fontId="4" fillId="0" borderId="14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center" vertical="bottom" wrapText="1"/>
    </xf>
    <xf numFmtId="0" fontId="8" fillId="0" borderId="21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4" borderId="22" applyAlignment="1" pivotButton="0" quotePrefix="0" xfId="0">
      <alignment horizontal="general" vertical="center"/>
    </xf>
    <xf numFmtId="0" fontId="6" fillId="4" borderId="23" applyAlignment="1" pivotButton="0" quotePrefix="0" xfId="0">
      <alignment horizontal="center" vertical="center"/>
    </xf>
    <xf numFmtId="0" fontId="6" fillId="4" borderId="23" applyAlignment="1" pivotButton="0" quotePrefix="0" xfId="0">
      <alignment horizontal="center" vertical="center" wrapText="1"/>
    </xf>
    <xf numFmtId="0" fontId="6" fillId="4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left" vertical="bottom"/>
    </xf>
    <xf numFmtId="0" fontId="4" fillId="0" borderId="13" applyAlignment="1" pivotButton="0" quotePrefix="0" xfId="0">
      <alignment horizontal="left" vertical="bottom"/>
    </xf>
    <xf numFmtId="0" fontId="4" fillId="0" borderId="26" applyAlignment="1" pivotButton="0" quotePrefix="0" xfId="0">
      <alignment horizontal="center" vertical="bottom"/>
    </xf>
    <xf numFmtId="0" fontId="6" fillId="0" borderId="8" applyAlignment="1" pivotButton="0" quotePrefix="0" xfId="0">
      <alignment horizontal="center" vertical="bottom"/>
    </xf>
    <xf numFmtId="0" fontId="4" fillId="0" borderId="1" applyAlignment="1" pivotButton="0" quotePrefix="0" xfId="0">
      <alignment horizontal="left" vertical="bottom"/>
    </xf>
    <xf numFmtId="0" fontId="6" fillId="0" borderId="8" applyAlignment="1" pivotButton="0" quotePrefix="0" xfId="0">
      <alignment horizontal="left" vertical="center" wrapText="1"/>
    </xf>
    <xf numFmtId="0" fontId="4" fillId="0" borderId="27" applyAlignment="1" pivotButton="0" quotePrefix="0" xfId="0">
      <alignment horizontal="center" vertical="center"/>
    </xf>
    <xf numFmtId="49" fontId="8" fillId="0" borderId="28" applyAlignment="1" pivotButton="0" quotePrefix="0" xfId="0">
      <alignment horizontal="right" vertical="bottom"/>
    </xf>
    <xf numFmtId="0" fontId="4" fillId="0" borderId="29" applyAlignment="1" pivotButton="0" quotePrefix="0" xfId="0">
      <alignment horizontal="center" vertical="bottom"/>
    </xf>
    <xf numFmtId="0" fontId="4" fillId="0" borderId="30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6" fillId="0" borderId="31" applyAlignment="1" pivotButton="0" quotePrefix="0" xfId="0">
      <alignment horizontal="center" vertical="bottom"/>
    </xf>
    <xf numFmtId="0" fontId="4" fillId="0" borderId="27" applyAlignment="1" pivotButton="0" quotePrefix="0" xfId="0">
      <alignment horizontal="center" vertical="bottom"/>
    </xf>
    <xf numFmtId="0" fontId="6" fillId="0" borderId="32" applyAlignment="1" pivotButton="0" quotePrefix="0" xfId="0">
      <alignment horizontal="center" vertical="bottom"/>
    </xf>
    <xf numFmtId="49" fontId="8" fillId="0" borderId="33" applyAlignment="1" pivotButton="0" quotePrefix="0" xfId="0">
      <alignment horizontal="right" vertical="bottom"/>
    </xf>
    <xf numFmtId="0" fontId="8" fillId="3" borderId="5" applyAlignment="1" pivotButton="0" quotePrefix="0" xfId="0">
      <alignment horizontal="general" vertical="bottom" wrapText="1"/>
    </xf>
    <xf numFmtId="0" fontId="8" fillId="3" borderId="6" applyAlignment="1" pivotButton="0" quotePrefix="0" xfId="0">
      <alignment horizontal="center" vertical="bottom"/>
    </xf>
    <xf numFmtId="0" fontId="8" fillId="3" borderId="7" applyAlignment="1" pivotButton="0" quotePrefix="0" xfId="0">
      <alignment horizontal="center" vertical="bottom"/>
    </xf>
    <xf numFmtId="0" fontId="6" fillId="4" borderId="8" applyAlignment="1" pivotButton="0" quotePrefix="0" xfId="0">
      <alignment horizontal="general" vertical="center"/>
    </xf>
    <xf numFmtId="0" fontId="6" fillId="4" borderId="1" applyAlignment="1" pivotButton="0" quotePrefix="0" xfId="0">
      <alignment horizontal="general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4" fillId="0" borderId="34" applyAlignment="1" pivotButton="0" quotePrefix="0" xfId="0">
      <alignment horizontal="general" vertical="bottom"/>
    </xf>
    <xf numFmtId="0" fontId="4" fillId="0" borderId="32" applyAlignment="1" pivotButton="0" quotePrefix="0" xfId="0">
      <alignment horizontal="general" vertical="bottom"/>
    </xf>
    <xf numFmtId="0" fontId="4" fillId="0" borderId="35" applyAlignment="1" pivotButton="0" quotePrefix="0" xfId="0">
      <alignment horizontal="general" vertical="bottom"/>
    </xf>
    <xf numFmtId="0" fontId="4" fillId="0" borderId="35" applyAlignment="1" pivotButton="0" quotePrefix="0" xfId="0">
      <alignment horizontal="center" vertical="bottom"/>
    </xf>
    <xf numFmtId="0" fontId="8" fillId="0" borderId="35" applyAlignment="1" pivotButton="0" quotePrefix="0" xfId="0">
      <alignment horizontal="center" vertical="bottom"/>
    </xf>
    <xf numFmtId="0" fontId="8" fillId="3" borderId="36" applyAlignment="1" pivotButton="0" quotePrefix="0" xfId="0">
      <alignment horizontal="general" vertical="bottom"/>
    </xf>
    <xf numFmtId="0" fontId="4" fillId="3" borderId="31" applyAlignment="1" pivotButton="0" quotePrefix="0" xfId="0">
      <alignment horizontal="center" vertical="bottom"/>
    </xf>
    <xf numFmtId="0" fontId="4" fillId="3" borderId="37" applyAlignment="1" pivotButton="0" quotePrefix="0" xfId="0">
      <alignment horizontal="center" vertical="bottom"/>
    </xf>
    <xf numFmtId="0" fontId="4" fillId="0" borderId="38" applyAlignment="1" pivotButton="0" quotePrefix="0" xfId="0">
      <alignment horizontal="general" vertical="bottom" wrapText="1"/>
    </xf>
    <xf numFmtId="0" fontId="4" fillId="5" borderId="39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5" fillId="2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 wrapText="1"/>
    </xf>
    <xf numFmtId="0" fontId="0" fillId="0" borderId="20" pivotButton="0" quotePrefix="0" xfId="0"/>
    <xf numFmtId="0" fontId="0" fillId="0" borderId="41" pivotButton="0" quotePrefix="0" xfId="0"/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general" vertical="bottom"/>
    </xf>
    <xf numFmtId="0" fontId="4" fillId="0" borderId="5" applyAlignment="1" pivotButton="0" quotePrefix="0" xfId="0">
      <alignment horizontal="general" vertical="center" wrapText="1"/>
    </xf>
    <xf numFmtId="0" fontId="4" fillId="0" borderId="6" applyAlignment="1" pivotButton="0" quotePrefix="0" xfId="0">
      <alignment horizontal="general" vertical="center" wrapText="1"/>
    </xf>
    <xf numFmtId="0" fontId="4" fillId="0" borderId="6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4" fillId="0" borderId="8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49" fontId="4" fillId="0" borderId="1" applyAlignment="1" pivotButton="0" quotePrefix="0" xfId="0">
      <alignment horizontal="center" vertical="bottom"/>
    </xf>
    <xf numFmtId="0" fontId="4" fillId="0" borderId="10" applyAlignment="1" pivotButton="0" quotePrefix="0" xfId="0">
      <alignment horizontal="general" vertical="center" wrapText="1"/>
    </xf>
    <xf numFmtId="0" fontId="4" fillId="0" borderId="3" applyAlignment="1" pivotButton="0" quotePrefix="0" xfId="0">
      <alignment horizontal="general" vertical="center" wrapText="1"/>
    </xf>
    <xf numFmtId="0" fontId="4" fillId="0" borderId="3" applyAlignment="1" pivotButton="0" quotePrefix="0" xfId="0">
      <alignment horizontal="center" vertical="bottom"/>
    </xf>
    <xf numFmtId="0" fontId="4" fillId="0" borderId="11" applyAlignment="1" pivotButton="0" quotePrefix="0" xfId="0">
      <alignment horizontal="center" vertical="bottom"/>
    </xf>
    <xf numFmtId="0" fontId="6" fillId="0" borderId="4" applyAlignment="1" pivotButton="0" quotePrefix="0" xfId="0">
      <alignment horizontal="general" vertical="bottom"/>
    </xf>
    <xf numFmtId="0" fontId="6" fillId="0" borderId="12" applyAlignment="1" pivotButton="0" quotePrefix="0" xfId="0">
      <alignment horizontal="center" vertical="bottom"/>
    </xf>
    <xf numFmtId="0" fontId="8" fillId="4" borderId="2" applyAlignment="1" pivotButton="0" quotePrefix="0" xfId="0">
      <alignment horizontal="general" vertical="center"/>
    </xf>
    <xf numFmtId="0" fontId="6" fillId="4" borderId="3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general" vertical="center" wrapText="1"/>
    </xf>
    <xf numFmtId="0" fontId="4" fillId="0" borderId="13" applyAlignment="1" pivotButton="0" quotePrefix="0" xfId="0">
      <alignment horizontal="general" vertical="bottom"/>
    </xf>
    <xf numFmtId="0" fontId="4" fillId="0" borderId="13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4" fillId="0" borderId="14" applyAlignment="1" pivotButton="0" quotePrefix="0" xfId="0">
      <alignment horizontal="general" vertical="bottom"/>
    </xf>
    <xf numFmtId="0" fontId="4" fillId="0" borderId="14" applyAlignment="1" pivotButton="0" quotePrefix="0" xfId="0">
      <alignment horizontal="center" vertical="bottom"/>
    </xf>
    <xf numFmtId="0" fontId="8" fillId="0" borderId="13" applyAlignment="1" pivotButton="0" quotePrefix="0" xfId="0">
      <alignment horizontal="right" vertical="bottom"/>
    </xf>
    <xf numFmtId="0" fontId="8" fillId="0" borderId="14" applyAlignment="1" pivotButton="0" quotePrefix="0" xfId="0">
      <alignment horizontal="right" vertical="bottom"/>
    </xf>
    <xf numFmtId="9" fontId="4" fillId="0" borderId="14" applyAlignment="1" pivotButton="0" quotePrefix="0" xfId="0">
      <alignment horizontal="center" vertical="bottom"/>
    </xf>
    <xf numFmtId="0" fontId="8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0" fontId="4" fillId="0" borderId="15" applyAlignment="1" pivotButton="0" quotePrefix="0" xfId="0">
      <alignment horizontal="center" vertical="bottom"/>
    </xf>
    <xf numFmtId="0" fontId="8" fillId="0" borderId="14" applyAlignment="1" pivotButton="0" quotePrefix="0" xfId="0">
      <alignment horizontal="left" vertical="bottom" wrapText="1"/>
    </xf>
    <xf numFmtId="0" fontId="4" fillId="0" borderId="14" applyAlignment="1" pivotButton="0" quotePrefix="0" xfId="0">
      <alignment horizontal="left" vertical="bottom"/>
    </xf>
    <xf numFmtId="0" fontId="8" fillId="0" borderId="0" applyAlignment="1" pivotButton="0" quotePrefix="0" xfId="0">
      <alignment horizontal="left" vertical="bottom"/>
    </xf>
    <xf numFmtId="49" fontId="8" fillId="0" borderId="13" applyAlignment="1" pivotButton="0" quotePrefix="0" xfId="0">
      <alignment horizontal="right" vertical="bottom"/>
    </xf>
    <xf numFmtId="49" fontId="8" fillId="0" borderId="0" applyAlignment="1" pivotButton="0" quotePrefix="0" xfId="0">
      <alignment horizontal="right" vertical="bottom"/>
    </xf>
    <xf numFmtId="0" fontId="8" fillId="4" borderId="3" applyAlignment="1" pivotButton="0" quotePrefix="0" xfId="0">
      <alignment horizontal="general" vertical="center"/>
    </xf>
    <xf numFmtId="0" fontId="0" fillId="0" borderId="12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4" fillId="0" borderId="16" applyAlignment="1" pivotButton="0" quotePrefix="0" xfId="0">
      <alignment horizontal="center" vertical="bottom"/>
    </xf>
    <xf numFmtId="0" fontId="8" fillId="0" borderId="14" applyAlignment="1" pivotButton="0" quotePrefix="0" xfId="0">
      <alignment horizontal="left" vertical="bottom"/>
    </xf>
    <xf numFmtId="0" fontId="4" fillId="0" borderId="14" applyAlignment="1" pivotButton="0" quotePrefix="0" xfId="0">
      <alignment horizontal="left" vertical="center" wrapText="1"/>
    </xf>
    <xf numFmtId="49" fontId="8" fillId="0" borderId="13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left" vertical="center"/>
    </xf>
    <xf numFmtId="49" fontId="8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4" fillId="0" borderId="14" applyAlignment="1" pivotButton="0" quotePrefix="0" xfId="0">
      <alignment horizontal="general" vertical="center" wrapText="1"/>
    </xf>
    <xf numFmtId="0" fontId="4" fillId="0" borderId="17" applyAlignment="1" pivotButton="0" quotePrefix="0" xfId="0">
      <alignment horizontal="general" vertical="bottom"/>
    </xf>
    <xf numFmtId="0" fontId="8" fillId="0" borderId="18" applyAlignment="1" pivotButton="0" quotePrefix="0" xfId="0">
      <alignment horizontal="right" vertical="bottom"/>
    </xf>
    <xf numFmtId="0" fontId="0" fillId="0" borderId="46" pivotButton="0" quotePrefix="0" xfId="0"/>
    <xf numFmtId="0" fontId="0" fillId="0" borderId="47" pivotButton="0" quotePrefix="0" xfId="0"/>
    <xf numFmtId="0" fontId="4" fillId="0" borderId="19" applyAlignment="1" pivotButton="0" quotePrefix="0" xfId="0">
      <alignment horizontal="general" vertical="bottom"/>
    </xf>
    <xf numFmtId="0" fontId="4" fillId="0" borderId="12" applyAlignment="1" pivotButton="0" quotePrefix="0" xfId="0">
      <alignment horizontal="general" vertical="bottom"/>
    </xf>
    <xf numFmtId="0" fontId="4" fillId="0" borderId="20" applyAlignment="1" pivotButton="0" quotePrefix="0" xfId="0">
      <alignment horizontal="center" vertical="bottom"/>
    </xf>
    <xf numFmtId="0" fontId="8" fillId="0" borderId="14" applyAlignment="1" pivotButton="0" quotePrefix="0" xfId="0">
      <alignment horizontal="left" vertical="center"/>
    </xf>
    <xf numFmtId="0" fontId="4" fillId="0" borderId="14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center" vertical="bottom" wrapText="1"/>
    </xf>
    <xf numFmtId="0" fontId="8" fillId="0" borderId="21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4" borderId="22" applyAlignment="1" pivotButton="0" quotePrefix="0" xfId="0">
      <alignment horizontal="general" vertical="center"/>
    </xf>
    <xf numFmtId="0" fontId="6" fillId="4" borderId="23" applyAlignment="1" pivotButton="0" quotePrefix="0" xfId="0">
      <alignment horizontal="center" vertical="center" wrapText="1"/>
    </xf>
    <xf numFmtId="0" fontId="6" fillId="4" borderId="23" applyAlignment="1" pivotButton="0" quotePrefix="0" xfId="0">
      <alignment horizontal="center" vertical="center" wrapText="1"/>
    </xf>
    <xf numFmtId="0" fontId="6" fillId="4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left" vertical="bottom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bottom"/>
    </xf>
    <xf numFmtId="0" fontId="6" fillId="0" borderId="8" applyAlignment="1" pivotButton="0" quotePrefix="0" xfId="0">
      <alignment horizontal="center" vertical="bottom"/>
    </xf>
    <xf numFmtId="0" fontId="4" fillId="0" borderId="1" applyAlignment="1" pivotButton="0" quotePrefix="0" xfId="0">
      <alignment horizontal="left" vertical="bottom"/>
    </xf>
    <xf numFmtId="0" fontId="6" fillId="0" borderId="8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9" pivotButton="0" quotePrefix="0" xfId="0"/>
    <xf numFmtId="0" fontId="0" fillId="0" borderId="25" pivotButton="0" quotePrefix="0" xfId="0"/>
    <xf numFmtId="0" fontId="4" fillId="0" borderId="14" applyAlignment="1" pivotButton="0" quotePrefix="0" xfId="0">
      <alignment horizontal="general" vertical="center" wrapText="1"/>
    </xf>
    <xf numFmtId="0" fontId="4" fillId="0" borderId="14" applyAlignment="1" pivotButton="0" quotePrefix="0" xfId="0">
      <alignment horizontal="general" vertical="center"/>
    </xf>
    <xf numFmtId="0" fontId="4" fillId="0" borderId="27" applyAlignment="1" pivotButton="0" quotePrefix="0" xfId="0">
      <alignment horizontal="center" vertical="center"/>
    </xf>
    <xf numFmtId="49" fontId="8" fillId="0" borderId="28" applyAlignment="1" pivotButton="0" quotePrefix="0" xfId="0">
      <alignment horizontal="right" vertical="bottom"/>
    </xf>
    <xf numFmtId="0" fontId="0" fillId="0" borderId="35" pivotButton="0" quotePrefix="0" xfId="0"/>
    <xf numFmtId="0" fontId="0" fillId="0" borderId="50" pivotButton="0" quotePrefix="0" xfId="0"/>
    <xf numFmtId="0" fontId="4" fillId="0" borderId="29" applyAlignment="1" pivotButton="0" quotePrefix="0" xfId="0">
      <alignment horizontal="center" vertical="bottom"/>
    </xf>
    <xf numFmtId="0" fontId="4" fillId="0" borderId="30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6" fillId="0" borderId="31" applyAlignment="1" pivotButton="0" quotePrefix="0" xfId="0">
      <alignment horizontal="center" vertical="bottom"/>
    </xf>
    <xf numFmtId="0" fontId="6" fillId="4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bottom"/>
    </xf>
    <xf numFmtId="0" fontId="4" fillId="0" borderId="27" applyAlignment="1" pivotButton="0" quotePrefix="0" xfId="0">
      <alignment horizontal="center" vertical="bottom"/>
    </xf>
    <xf numFmtId="0" fontId="6" fillId="0" borderId="32" applyAlignment="1" pivotButton="0" quotePrefix="0" xfId="0">
      <alignment horizontal="center" vertical="bottom"/>
    </xf>
    <xf numFmtId="49" fontId="8" fillId="0" borderId="33" applyAlignment="1" pivotButton="0" quotePrefix="0" xfId="0">
      <alignment horizontal="right" vertical="bottom"/>
    </xf>
    <xf numFmtId="0" fontId="8" fillId="3" borderId="5" applyAlignment="1" pivotButton="0" quotePrefix="0" xfId="0">
      <alignment horizontal="general" vertical="bottom" wrapText="1"/>
    </xf>
    <xf numFmtId="0" fontId="8" fillId="3" borderId="6" applyAlignment="1" pivotButton="0" quotePrefix="0" xfId="0">
      <alignment horizontal="center" vertical="bottom"/>
    </xf>
    <xf numFmtId="0" fontId="8" fillId="3" borderId="7" applyAlignment="1" pivotButton="0" quotePrefix="0" xfId="0">
      <alignment horizontal="center" vertical="bottom"/>
    </xf>
    <xf numFmtId="0" fontId="6" fillId="4" borderId="8" applyAlignment="1" pivotButton="0" quotePrefix="0" xfId="0">
      <alignment horizontal="general" vertical="center"/>
    </xf>
    <xf numFmtId="0" fontId="6" fillId="4" borderId="1" applyAlignment="1" pivotButton="0" quotePrefix="0" xfId="0">
      <alignment horizontal="general" vertical="center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4" fillId="0" borderId="34" applyAlignment="1" pivotButton="0" quotePrefix="0" xfId="0">
      <alignment horizontal="general" vertical="bottom"/>
    </xf>
    <xf numFmtId="0" fontId="4" fillId="0" borderId="32" applyAlignment="1" pivotButton="0" quotePrefix="0" xfId="0">
      <alignment horizontal="general" vertical="bottom"/>
    </xf>
    <xf numFmtId="0" fontId="4" fillId="0" borderId="35" applyAlignment="1" pivotButton="0" quotePrefix="0" xfId="0">
      <alignment horizontal="general" vertical="bottom"/>
    </xf>
    <xf numFmtId="0" fontId="4" fillId="0" borderId="35" applyAlignment="1" pivotButton="0" quotePrefix="0" xfId="0">
      <alignment horizontal="center" vertical="bottom"/>
    </xf>
    <xf numFmtId="0" fontId="8" fillId="0" borderId="35" applyAlignment="1" pivotButton="0" quotePrefix="0" xfId="0">
      <alignment horizontal="center" vertical="bottom"/>
    </xf>
    <xf numFmtId="0" fontId="8" fillId="3" borderId="36" applyAlignment="1" pivotButton="0" quotePrefix="0" xfId="0">
      <alignment horizontal="general" vertical="bottom"/>
    </xf>
    <xf numFmtId="0" fontId="4" fillId="3" borderId="31" applyAlignment="1" pivotButton="0" quotePrefix="0" xfId="0">
      <alignment horizontal="center" vertical="bottom"/>
    </xf>
    <xf numFmtId="0" fontId="4" fillId="3" borderId="37" applyAlignment="1" pivotButton="0" quotePrefix="0" xfId="0">
      <alignment horizontal="center" vertical="bottom"/>
    </xf>
    <xf numFmtId="0" fontId="4" fillId="0" borderId="38" applyAlignment="1" pivotButton="0" quotePrefix="0" xfId="0">
      <alignment vertical="top" wrapText="1"/>
    </xf>
    <xf numFmtId="0" fontId="0" fillId="0" borderId="51" pivotButton="0" quotePrefix="0" xfId="0"/>
    <xf numFmtId="0" fontId="4" fillId="5" borderId="39" applyAlignment="1" pivotButton="0" quotePrefix="0" xfId="0">
      <alignment vertical="top" wrapText="1"/>
    </xf>
    <xf numFmtId="0" fontId="0" fillId="0" borderId="5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color rgb="FF000000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59EDD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F8" authorId="0" shapeId="0">
      <text>
        <t>For inductive loads (e.g., motors, solenoids) this is often called "stall current" on the data sheet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75"/>
  <sheetViews>
    <sheetView showFormulas="0" showGridLines="1" showRowColHeaders="1" showZeros="1" rightToLeft="0" tabSelected="1" showOutlineSymbols="1" defaultGridColor="1" view="normal" topLeftCell="A32" colorId="64" zoomScale="100" zoomScaleNormal="100" zoomScalePageLayoutView="100" workbookViewId="0">
      <selection pane="topLeft" activeCell="A47" activeCellId="0" sqref="A47"/>
    </sheetView>
  </sheetViews>
  <sheetFormatPr baseColWidth="8" defaultColWidth="13.5078125" defaultRowHeight="15.75" zeroHeight="0" outlineLevelRow="0"/>
  <cols>
    <col width="22.5" customWidth="1" style="102" min="1" max="1"/>
    <col width="44" customWidth="1" style="102" min="2" max="2"/>
    <col width="26" customWidth="1" style="102" min="3" max="3"/>
    <col width="16" customWidth="1" style="102" min="4" max="4"/>
    <col width="7.25" customWidth="1" style="102" min="5" max="5"/>
    <col width="12.37" customWidth="1" style="103" min="6" max="6"/>
    <col width="11.37" customWidth="1" style="103" min="7" max="7"/>
    <col width="9" customWidth="1" style="103" min="8" max="8"/>
    <col width="13.5" customWidth="1" style="102" min="9" max="16384"/>
  </cols>
  <sheetData>
    <row r="1" ht="30" customHeight="1" s="104">
      <c r="A1" s="105" t="inlineStr">
        <is>
          <t>Power Budget — Board B: Cap / Lid Sensing (Rev 3)</t>
        </is>
      </c>
    </row>
    <row r="2" ht="15" customHeight="1" s="104">
      <c r="A2" s="106" t="inlineStr">
        <is>
          <t>Team Number:</t>
        </is>
      </c>
      <c r="B2" s="107" t="inlineStr">
        <is>
          <t>102</t>
        </is>
      </c>
      <c r="D2" s="108" t="n"/>
      <c r="E2" s="108" t="n"/>
    </row>
    <row r="3" ht="15" customHeight="1" s="104">
      <c r="A3" s="106" t="inlineStr">
        <is>
          <t>Project Name:</t>
        </is>
      </c>
      <c r="B3" s="109" t="inlineStr">
        <is>
          <t>Automatic Pill Dispenser</t>
        </is>
      </c>
      <c r="C3" s="109" t="n"/>
      <c r="D3" s="108" t="n"/>
      <c r="E3" s="108" t="n"/>
      <c r="F3" s="108" t="n"/>
      <c r="G3" s="108" t="n"/>
      <c r="H3" s="108" t="n"/>
    </row>
    <row r="4" ht="15" customHeight="1" s="104">
      <c r="A4" s="106" t="inlineStr">
        <is>
          <t>Team Member Names:</t>
        </is>
      </c>
      <c r="B4" s="109" t="inlineStr">
        <is>
          <t>Arya Padiyar (Board B), Natalia Diaz, Samandar Kholmuminov, Taylor Calli</t>
        </is>
      </c>
      <c r="C4" s="109" t="n"/>
      <c r="D4" s="108" t="n"/>
      <c r="E4" s="108" t="n"/>
      <c r="F4" s="108" t="n"/>
      <c r="G4" s="108" t="n"/>
      <c r="H4" s="108" t="n"/>
    </row>
    <row r="5" ht="15" customHeight="1" s="104">
      <c r="A5" s="106" t="inlineStr">
        <is>
          <t>Version:</t>
        </is>
      </c>
      <c r="B5" s="109" t="inlineStr">
        <is>
          <t>3 (2026-10-27)</t>
        </is>
      </c>
      <c r="C5" s="109" t="n"/>
      <c r="D5" s="108" t="n"/>
      <c r="E5" s="108" t="n"/>
      <c r="F5" s="108" t="n"/>
      <c r="G5" s="108" t="n"/>
      <c r="H5" s="108" t="n"/>
    </row>
    <row r="6" ht="15" customHeight="1" s="104">
      <c r="A6" s="109" t="n"/>
      <c r="B6" s="109" t="n"/>
      <c r="C6" s="109" t="n"/>
      <c r="D6" s="108" t="n"/>
      <c r="E6" s="108" t="n"/>
      <c r="F6" s="108" t="n"/>
      <c r="G6" s="108" t="n"/>
      <c r="H6" s="108" t="n"/>
    </row>
    <row r="7" hidden="1" ht="15" customHeight="1" s="104">
      <c r="A7" s="110" t="inlineStr">
        <is>
          <t>A. List ALL major components (active devices, integrated circuits, etc.) except for power sources, voltage regulators, resistors, capacitors, or passive elements</t>
        </is>
      </c>
      <c r="B7" s="111" t="n"/>
      <c r="C7" s="111" t="n"/>
      <c r="D7" s="111" t="n"/>
      <c r="E7" s="111" t="n"/>
      <c r="F7" s="111" t="n"/>
      <c r="G7" s="111" t="n"/>
      <c r="H7" s="112" t="n"/>
    </row>
    <row r="8" ht="48" customHeight="1" s="104">
      <c r="A8" s="113" t="inlineStr">
        <is>
          <t>All Major Components</t>
        </is>
      </c>
      <c r="B8" s="114" t="inlineStr">
        <is>
          <t>Component Name</t>
        </is>
      </c>
      <c r="C8" s="114" t="inlineStr">
        <is>
          <t>Part Number</t>
        </is>
      </c>
      <c r="D8" s="133" t="inlineStr">
        <is>
          <t>Supply Voltage Range</t>
        </is>
      </c>
      <c r="E8" s="114" t="inlineStr">
        <is>
          <t>Qty.</t>
        </is>
      </c>
      <c r="F8" s="133" t="inlineStr">
        <is>
          <t>Absolute Maximum Current (mA)</t>
        </is>
      </c>
      <c r="G8" s="133" t="inlineStr">
        <is>
          <t>Total Current
(mA)</t>
        </is>
      </c>
      <c r="H8" s="114" t="inlineStr">
        <is>
          <t>Unit</t>
        </is>
      </c>
    </row>
    <row r="9" ht="15" customHeight="1" s="104">
      <c r="A9" s="116" t="n"/>
      <c r="B9" s="117" t="inlineStr">
        <is>
          <t>PIC18F57Q43 Curiosity Nano</t>
        </is>
      </c>
      <c r="C9" s="118" t="inlineStr">
        <is>
          <t>DM164150 / PIC18F57Q43</t>
        </is>
      </c>
      <c r="D9" s="119" t="inlineStr">
        <is>
          <t>+1.8 - 5.5V (VDD)</t>
        </is>
      </c>
      <c r="E9" s="119" t="n">
        <v>1</v>
      </c>
      <c r="F9" s="119" t="n">
        <v>350</v>
      </c>
      <c r="G9" s="119">
        <f>E9*F9</f>
        <v/>
      </c>
      <c r="H9" s="120" t="inlineStr">
        <is>
          <t>mA</t>
        </is>
      </c>
    </row>
    <row r="10" ht="15" customHeight="1" s="104">
      <c r="A10" s="116" t="n"/>
      <c r="B10" s="121" t="inlineStr">
        <is>
          <t>Quad op-amp</t>
        </is>
      </c>
      <c r="C10" s="122" t="inlineStr">
        <is>
          <t>MCP6004-I/P</t>
        </is>
      </c>
      <c r="D10" s="123" t="inlineStr">
        <is>
          <t>+1.8 - 6.0V</t>
        </is>
      </c>
      <c r="E10" s="123" t="n">
        <v>1</v>
      </c>
      <c r="F10" s="123" t="n">
        <v>0.68</v>
      </c>
      <c r="G10" s="123">
        <f>E10*F10</f>
        <v/>
      </c>
      <c r="H10" s="124" t="inlineStr">
        <is>
          <t>mA</t>
        </is>
      </c>
    </row>
    <row r="11" ht="15" customHeight="1" s="104">
      <c r="A11" s="116" t="n"/>
      <c r="B11" s="121" t="inlineStr">
        <is>
          <t>Dual voltage comparator</t>
        </is>
      </c>
      <c r="C11" s="122" t="inlineStr">
        <is>
          <t>LM393P</t>
        </is>
      </c>
      <c r="D11" s="123" t="inlineStr">
        <is>
          <t>+2 - 36V</t>
        </is>
      </c>
      <c r="E11" s="123" t="n">
        <v>1</v>
      </c>
      <c r="F11" s="123" t="n">
        <v>2.5</v>
      </c>
      <c r="G11" s="123">
        <f>E11*F11</f>
        <v/>
      </c>
      <c r="H11" s="124" t="inlineStr">
        <is>
          <t>mA</t>
        </is>
      </c>
    </row>
    <row r="12" ht="15" customHeight="1" s="104">
      <c r="A12" s="116" t="n"/>
      <c r="B12" s="121" t="inlineStr">
        <is>
          <t>Photoresistor divider</t>
        </is>
      </c>
      <c r="C12" s="122" t="inlineStr">
        <is>
          <t>CdS LDR + 3.9k</t>
        </is>
      </c>
      <c r="D12" s="125" t="inlineStr">
        <is>
          <t>+3.3V</t>
        </is>
      </c>
      <c r="E12" s="123" t="n">
        <v>1</v>
      </c>
      <c r="F12" s="123" t="n">
        <v>0.83</v>
      </c>
      <c r="G12" s="123">
        <f>E12*F12</f>
        <v/>
      </c>
      <c r="H12" s="124" t="inlineStr">
        <is>
          <t>mA</t>
        </is>
      </c>
    </row>
    <row r="13" ht="15" customHeight="1" s="104">
      <c r="A13" s="116" t="n"/>
      <c r="B13" s="121" t="inlineStr">
        <is>
          <t>Status + heartbeat LEDs</t>
        </is>
      </c>
      <c r="C13" s="122" t="inlineStr">
        <is>
          <t>T-1 3/4 LEDs</t>
        </is>
      </c>
      <c r="D13" s="123" t="inlineStr">
        <is>
          <t>+3.3V</t>
        </is>
      </c>
      <c r="E13" s="123" t="n">
        <v>2</v>
      </c>
      <c r="F13" s="123" t="n">
        <v>4</v>
      </c>
      <c r="G13" s="123">
        <f>E13*F13</f>
        <v/>
      </c>
      <c r="H13" s="124" t="inlineStr">
        <is>
          <t>mA</t>
        </is>
      </c>
    </row>
    <row r="14" ht="15" customHeight="1" s="104">
      <c r="A14" s="116" t="n"/>
      <c r="B14" s="126" t="inlineStr">
        <is>
          <t>Pull-ups + bias dividers</t>
        </is>
      </c>
      <c r="C14" s="127" t="inlineStr">
        <is>
          <t>10k-470k 1/8W</t>
        </is>
      </c>
      <c r="D14" s="128" t="inlineStr">
        <is>
          <t>+3.3V</t>
        </is>
      </c>
      <c r="E14" s="128" t="n">
        <v>1</v>
      </c>
      <c r="F14" s="128" t="n">
        <v>1.8</v>
      </c>
      <c r="G14" s="128">
        <f>E14*F14</f>
        <v/>
      </c>
      <c r="H14" s="129" t="inlineStr">
        <is>
          <t>mA</t>
        </is>
      </c>
    </row>
    <row r="15" ht="15" customHeight="1" s="104">
      <c r="A15" s="130" t="n"/>
      <c r="B15" s="109" t="n"/>
      <c r="C15" s="109" t="n"/>
      <c r="D15" s="108" t="n"/>
      <c r="E15" s="108" t="n"/>
      <c r="F15" s="108" t="n"/>
      <c r="G15" s="131" t="n"/>
      <c r="H15" s="131" t="n"/>
    </row>
    <row r="16" ht="48" customHeight="1" s="104">
      <c r="A16" s="132" t="inlineStr">
        <is>
          <t xml:space="preserve"> +12V Power Rail (not used on Board B)</t>
        </is>
      </c>
      <c r="B16" s="133" t="inlineStr">
        <is>
          <t>Component Name</t>
        </is>
      </c>
      <c r="C16" s="133" t="inlineStr">
        <is>
          <t>Part Number</t>
        </is>
      </c>
      <c r="D16" s="133" t="inlineStr">
        <is>
          <t>Supply Voltage Range</t>
        </is>
      </c>
      <c r="E16" s="114" t="inlineStr">
        <is>
          <t>Qty.</t>
        </is>
      </c>
      <c r="F16" s="133" t="inlineStr">
        <is>
          <t>Absolute Maximum Current (mA)</t>
        </is>
      </c>
      <c r="G16" s="133" t="inlineStr">
        <is>
          <t>Total Current
(mA)</t>
        </is>
      </c>
      <c r="H16" s="114" t="inlineStr">
        <is>
          <t>Unit</t>
        </is>
      </c>
    </row>
    <row r="17" ht="15" customHeight="1" s="104">
      <c r="A17" s="116" t="n"/>
      <c r="B17" s="134" t="inlineStr">
        <is>
          <t>No +12V loads on Board B</t>
        </is>
      </c>
      <c r="C17" s="135" t="n"/>
      <c r="D17" s="136" t="n"/>
      <c r="E17" s="136" t="n"/>
      <c r="F17" s="136" t="n"/>
      <c r="G17" s="136" t="n"/>
      <c r="H17" s="136" t="n"/>
    </row>
    <row r="18" ht="15" customHeight="1" s="104">
      <c r="A18" s="116" t="n"/>
      <c r="B18" s="137" t="n"/>
      <c r="C18" s="137" t="n"/>
      <c r="D18" s="123" t="n"/>
      <c r="E18" s="123" t="n"/>
      <c r="F18" s="123" t="n"/>
      <c r="G18" s="123" t="n"/>
      <c r="H18" s="123" t="n"/>
    </row>
    <row r="19" ht="15" customHeight="1" s="104">
      <c r="A19" s="116" t="n"/>
      <c r="B19" s="138" t="n"/>
      <c r="C19" s="138" t="n"/>
      <c r="D19" s="139" t="n"/>
      <c r="E19" s="139" t="n"/>
      <c r="F19" s="139" t="n"/>
      <c r="G19" s="139" t="n"/>
      <c r="H19" s="139" t="n"/>
    </row>
    <row r="20" ht="15" customHeight="1" s="104">
      <c r="A20" s="116" t="n"/>
      <c r="D20" s="140" t="n"/>
      <c r="G20" s="136" t="n"/>
      <c r="H20" s="136" t="n"/>
    </row>
    <row r="21" ht="15" customHeight="1" s="104">
      <c r="A21" s="116" t="n"/>
      <c r="D21" s="141" t="n"/>
      <c r="G21" s="142" t="n"/>
      <c r="H21" s="142" t="n"/>
    </row>
    <row r="22" ht="15" customHeight="1" s="104">
      <c r="A22" s="143" t="n"/>
      <c r="D22" s="140" t="n"/>
      <c r="G22" s="136" t="n"/>
      <c r="H22" s="136" t="n"/>
    </row>
    <row r="23" ht="15" customHeight="1" s="104">
      <c r="A23" s="144" t="n"/>
      <c r="B23" s="145" t="n"/>
      <c r="C23" s="145" t="n"/>
      <c r="D23" s="103" t="n"/>
      <c r="E23" s="103" t="n"/>
      <c r="G23" s="146" t="n"/>
      <c r="H23" s="146" t="n"/>
    </row>
    <row r="24" ht="15" customHeight="1" s="104">
      <c r="A24" s="147" t="n"/>
      <c r="B24" s="148" t="n"/>
      <c r="C24" s="148" t="n"/>
      <c r="D24" s="139" t="n"/>
      <c r="E24" s="139" t="n"/>
      <c r="F24" s="139" t="n"/>
      <c r="G24" s="139" t="n"/>
      <c r="H24" s="139" t="n"/>
    </row>
    <row r="25" ht="15" customHeight="1" s="104">
      <c r="A25" s="149" t="n"/>
      <c r="B25" s="150" t="n"/>
      <c r="G25" s="136" t="n"/>
      <c r="H25" s="136" t="n"/>
    </row>
    <row r="26" ht="15" customHeight="1" s="104">
      <c r="A26" s="149" t="n"/>
      <c r="B26" s="151" t="n"/>
      <c r="C26" s="107" t="n"/>
      <c r="D26" s="107" t="n"/>
      <c r="E26" s="107" t="n"/>
      <c r="F26" s="107" t="n"/>
    </row>
    <row r="27" ht="48" customHeight="1" s="104">
      <c r="A27" s="152" t="inlineStr">
        <is>
          <t xml:space="preserve"> +5V Power Rail</t>
        </is>
      </c>
      <c r="B27" s="133" t="inlineStr">
        <is>
          <t>Component Name</t>
        </is>
      </c>
      <c r="C27" s="133" t="inlineStr">
        <is>
          <t>Part Number</t>
        </is>
      </c>
      <c r="D27" s="133" t="inlineStr">
        <is>
          <t>Supply
Voltage
Range</t>
        </is>
      </c>
      <c r="E27" s="114" t="inlineStr">
        <is>
          <t>Qty.</t>
        </is>
      </c>
      <c r="F27" s="133" t="inlineStr">
        <is>
          <t>Absolute
Maximum
Current (mA)</t>
        </is>
      </c>
      <c r="G27" s="133" t="inlineStr">
        <is>
          <t>Total
Current
(mA)</t>
        </is>
      </c>
      <c r="H27" s="114" t="inlineStr">
        <is>
          <t>Unit</t>
        </is>
      </c>
    </row>
    <row r="28" ht="15" customHeight="1" s="104">
      <c r="A28" s="116" t="n"/>
      <c r="B28" s="134" t="inlineStr">
        <is>
          <t>Curiosity Nano (VBUS via JP1)</t>
        </is>
      </c>
      <c r="C28" s="134" t="inlineStr">
        <is>
          <t>DM164150 (MIC5353)</t>
        </is>
      </c>
      <c r="D28" s="136" t="inlineStr">
        <is>
          <t>+5V</t>
        </is>
      </c>
      <c r="E28" s="136" t="n">
        <v>1</v>
      </c>
      <c r="F28" s="136" t="n">
        <v>500</v>
      </c>
      <c r="G28" s="136">
        <f>E28*F28</f>
        <v/>
      </c>
      <c r="H28" s="136" t="inlineStr">
        <is>
          <t>mA</t>
        </is>
      </c>
    </row>
    <row r="29" ht="15" customHeight="1" s="104">
      <c r="A29" s="116" t="n"/>
      <c r="B29" s="122" t="inlineStr">
        <is>
          <t>Power-good LED D2 + R1 (1k)</t>
        </is>
      </c>
      <c r="C29" s="122" t="inlineStr">
        <is>
          <t>Green LED + 1k</t>
        </is>
      </c>
      <c r="D29" s="123" t="inlineStr">
        <is>
          <t>+5V</t>
        </is>
      </c>
      <c r="E29" s="123" t="n">
        <v>1</v>
      </c>
      <c r="F29" s="123" t="n">
        <v>3</v>
      </c>
      <c r="G29" s="123">
        <f>E29*F29</f>
        <v/>
      </c>
      <c r="H29" s="123" t="inlineStr">
        <is>
          <t>mA</t>
        </is>
      </c>
    </row>
    <row r="30" ht="15" customHeight="1" s="104">
      <c r="A30" s="116" t="n"/>
      <c r="B30" s="138" t="n"/>
      <c r="C30" s="138" t="n"/>
      <c r="D30" s="139" t="n"/>
      <c r="E30" s="139" t="n"/>
      <c r="F30" s="139" t="n"/>
      <c r="G30" s="139" t="n"/>
      <c r="H30" s="139" t="n"/>
    </row>
    <row r="31" ht="15" customHeight="1" s="104">
      <c r="A31" s="116" t="n"/>
      <c r="D31" s="140" t="inlineStr">
        <is>
          <t xml:space="preserve">Subtotal </t>
        </is>
      </c>
      <c r="E31" s="153" t="n"/>
      <c r="F31" s="154" t="n"/>
      <c r="G31" s="136">
        <f>SUM(G28:G30)</f>
        <v/>
      </c>
      <c r="H31" s="136" t="inlineStr">
        <is>
          <t>mA</t>
        </is>
      </c>
    </row>
    <row r="32" ht="15" customHeight="1" s="104">
      <c r="A32" s="116" t="n"/>
      <c r="D32" s="141" t="inlineStr">
        <is>
          <t>Safety Margin</t>
        </is>
      </c>
      <c r="E32" s="155" t="n"/>
      <c r="F32" s="156" t="n"/>
      <c r="G32" s="142" t="n">
        <v>0.25</v>
      </c>
      <c r="H32" s="142" t="n"/>
    </row>
    <row r="33" ht="15" customHeight="1" s="104">
      <c r="A33" s="143" t="n"/>
      <c r="D33" s="140" t="inlineStr">
        <is>
          <t>Total Current Required on +5V Rail</t>
        </is>
      </c>
      <c r="E33" s="153" t="n"/>
      <c r="F33" s="154" t="n"/>
      <c r="G33" s="136">
        <f>G31*(1+G32)</f>
        <v/>
      </c>
      <c r="H33" s="136" t="inlineStr">
        <is>
          <t>mA</t>
        </is>
      </c>
    </row>
    <row r="34" ht="15" customHeight="1" s="104">
      <c r="A34" s="144" t="n"/>
      <c r="B34" s="145" t="n"/>
      <c r="C34" s="145" t="n"/>
      <c r="D34" s="103" t="n"/>
      <c r="E34" s="103" t="n"/>
      <c r="G34" s="157" t="n"/>
      <c r="H34" s="157" t="n"/>
    </row>
    <row r="35" ht="15" customHeight="1" s="104">
      <c r="A35" s="158" t="inlineStr">
        <is>
          <t>Regulator</t>
        </is>
      </c>
      <c r="B35" s="159" t="inlineStr">
        <is>
          <t xml:space="preserve"> +5V linear regulator</t>
        </is>
      </c>
      <c r="C35" s="159" t="inlineStr">
        <is>
          <t>STMicroelectronics L7805CV</t>
        </is>
      </c>
      <c r="D35" s="139" t="inlineStr">
        <is>
          <t>+7 - 35V in</t>
        </is>
      </c>
      <c r="E35" s="139" t="n">
        <v>1</v>
      </c>
      <c r="F35" s="139" t="n">
        <v>1500</v>
      </c>
      <c r="G35" s="139">
        <f>E35*F35</f>
        <v/>
      </c>
      <c r="H35" s="139" t="inlineStr">
        <is>
          <t>mA</t>
        </is>
      </c>
    </row>
    <row r="36" ht="15" customHeight="1" s="104">
      <c r="A36" s="149" t="n"/>
      <c r="B36" s="160" t="inlineStr">
        <is>
          <t>Total Remaining Current Available on +5V Rail</t>
        </is>
      </c>
      <c r="C36" s="153" t="n"/>
      <c r="D36" s="153" t="n"/>
      <c r="E36" s="153" t="n"/>
      <c r="F36" s="154" t="n"/>
      <c r="G36" s="136">
        <f>G35-G33</f>
        <v/>
      </c>
      <c r="H36" s="136" t="inlineStr">
        <is>
          <t>mA</t>
        </is>
      </c>
    </row>
    <row r="37" ht="15" customHeight="1" s="104">
      <c r="A37" s="161" t="n"/>
      <c r="B37" s="162" t="n"/>
      <c r="C37" s="163" t="n"/>
      <c r="D37" s="163" t="n"/>
      <c r="E37" s="163" t="n"/>
      <c r="F37" s="163" t="n"/>
      <c r="G37" s="164" t="n"/>
      <c r="H37" s="164" t="n"/>
    </row>
    <row r="38" ht="48" customHeight="1" s="104">
      <c r="A38" s="152" t="inlineStr">
        <is>
          <t xml:space="preserve"> +3.3V Power Rail</t>
        </is>
      </c>
      <c r="B38" s="133" t="inlineStr">
        <is>
          <t>Component Name</t>
        </is>
      </c>
      <c r="C38" s="133" t="inlineStr">
        <is>
          <t>Part Number</t>
        </is>
      </c>
      <c r="D38" s="133" t="inlineStr">
        <is>
          <t>Supply
Voltage
Range</t>
        </is>
      </c>
      <c r="E38" s="114" t="inlineStr">
        <is>
          <t>Qty.</t>
        </is>
      </c>
      <c r="F38" s="133" t="inlineStr">
        <is>
          <t>Absolute
Maximum
Current (mA)</t>
        </is>
      </c>
      <c r="G38" s="133" t="inlineStr">
        <is>
          <t>Total
Current
(mA)</t>
        </is>
      </c>
      <c r="H38" s="114" t="inlineStr">
        <is>
          <t>Unit</t>
        </is>
      </c>
    </row>
    <row r="39" ht="15" customHeight="1" s="104">
      <c r="A39" s="116" t="n"/>
      <c r="B39" s="134" t="inlineStr">
        <is>
          <t>PIC18F57Q43 (abs. max into VDD)</t>
        </is>
      </c>
      <c r="C39" s="134" t="inlineStr">
        <is>
          <t>PIC18F57Q43</t>
        </is>
      </c>
      <c r="D39" s="136" t="inlineStr">
        <is>
          <t>+1.8 - 5.5V</t>
        </is>
      </c>
      <c r="E39" s="136" t="n">
        <v>1</v>
      </c>
      <c r="F39" s="136" t="n">
        <v>350</v>
      </c>
      <c r="G39" s="136">
        <f>E39*F39</f>
        <v/>
      </c>
      <c r="H39" s="136" t="inlineStr">
        <is>
          <t>mA</t>
        </is>
      </c>
    </row>
    <row r="40" ht="15" customHeight="1" s="104">
      <c r="A40" s="116" t="n"/>
      <c r="B40" s="193" t="inlineStr">
        <is>
          <t>Quad op-amp</t>
        </is>
      </c>
      <c r="C40" s="193" t="inlineStr">
        <is>
          <t>MCP6004-I/P</t>
        </is>
      </c>
      <c r="D40" s="139" t="inlineStr">
        <is>
          <t>+1.8 - 6.0V</t>
        </is>
      </c>
      <c r="E40" s="139" t="n">
        <v>1</v>
      </c>
      <c r="F40" s="139" t="n">
        <v>0.68</v>
      </c>
      <c r="G40" s="139">
        <f>E40*F40</f>
        <v/>
      </c>
      <c r="H40" s="139" t="inlineStr">
        <is>
          <t>mA</t>
        </is>
      </c>
    </row>
    <row r="41" ht="15" customHeight="1" s="104">
      <c r="A41" s="116" t="n"/>
      <c r="B41" s="193" t="inlineStr">
        <is>
          <t>Dual comparator</t>
        </is>
      </c>
      <c r="C41" s="193" t="inlineStr">
        <is>
          <t>LM393P</t>
        </is>
      </c>
      <c r="D41" s="139" t="inlineStr">
        <is>
          <t>+2 - 36V</t>
        </is>
      </c>
      <c r="E41" s="139" t="n">
        <v>1</v>
      </c>
      <c r="F41" s="139" t="n">
        <v>2.5</v>
      </c>
      <c r="G41" s="139">
        <f>E41*F41</f>
        <v/>
      </c>
      <c r="H41" s="139" t="inlineStr">
        <is>
          <t>mA</t>
        </is>
      </c>
    </row>
    <row r="42" ht="15" customHeight="1" s="104">
      <c r="A42" s="116" t="n"/>
      <c r="B42" s="193" t="inlineStr">
        <is>
          <t>Photoresistor divider (worst case, bright light)</t>
        </is>
      </c>
      <c r="C42" s="193" t="inlineStr">
        <is>
          <t>LDR + 3.9k</t>
        </is>
      </c>
      <c r="D42" s="139" t="inlineStr">
        <is>
          <t>+3.3V</t>
        </is>
      </c>
      <c r="E42" s="139" t="n">
        <v>1</v>
      </c>
      <c r="F42" s="139" t="n">
        <v>0.83</v>
      </c>
      <c r="G42" s="139">
        <f>E42*F42</f>
        <v/>
      </c>
      <c r="H42" s="139" t="inlineStr">
        <is>
          <t>mA</t>
        </is>
      </c>
    </row>
    <row r="43" ht="15" customHeight="1" s="104">
      <c r="A43" s="116" t="n"/>
      <c r="B43" s="193" t="inlineStr">
        <is>
          <t>Status + heartbeat LEDs</t>
        </is>
      </c>
      <c r="C43" s="193" t="inlineStr">
        <is>
          <t>D3, D4 (330 Ω)</t>
        </is>
      </c>
      <c r="D43" s="139" t="inlineStr">
        <is>
          <t>+3.3V</t>
        </is>
      </c>
      <c r="E43" s="139" t="n">
        <v>2</v>
      </c>
      <c r="F43" s="139" t="n">
        <v>4</v>
      </c>
      <c r="G43" s="139">
        <f>E43*F43</f>
        <v/>
      </c>
      <c r="H43" s="139" t="inlineStr">
        <is>
          <t>mA</t>
        </is>
      </c>
    </row>
    <row r="44" ht="15" customHeight="1" s="104">
      <c r="A44" s="116" t="n"/>
      <c r="B44" s="193" t="inlineStr">
        <is>
          <t>Pull-ups + bias dividers</t>
        </is>
      </c>
      <c r="C44" s="193" t="inlineStr">
        <is>
          <t>10k-470k 1/8W</t>
        </is>
      </c>
      <c r="D44" s="139" t="inlineStr">
        <is>
          <t>+3.3V</t>
        </is>
      </c>
      <c r="E44" s="139" t="n">
        <v>1</v>
      </c>
      <c r="F44" s="139" t="n">
        <v>1.8</v>
      </c>
      <c r="G44" s="139">
        <f>E44*F44</f>
        <v/>
      </c>
      <c r="H44" s="139" t="inlineStr">
        <is>
          <t>mA</t>
        </is>
      </c>
    </row>
    <row r="45" ht="32.25" customHeight="1" s="104">
      <c r="A45" s="116" t="n"/>
      <c r="C45" s="166" t="n"/>
      <c r="D45" s="167" t="inlineStr">
        <is>
          <t xml:space="preserve">Subtotal </t>
        </is>
      </c>
      <c r="E45" s="168" t="n"/>
      <c r="F45" s="169" t="n"/>
      <c r="G45" s="136">
        <f>SUM(G39:G44)</f>
        <v/>
      </c>
      <c r="H45" s="136" t="inlineStr">
        <is>
          <t>mA</t>
        </is>
      </c>
    </row>
    <row r="46" ht="15" customHeight="1" s="104">
      <c r="A46" s="116" t="n"/>
      <c r="C46" s="170" t="n"/>
      <c r="D46" s="141" t="inlineStr">
        <is>
          <t>Safety Margin</t>
        </is>
      </c>
      <c r="E46" s="155" t="n"/>
      <c r="F46" s="156" t="n"/>
      <c r="G46" s="142" t="n">
        <v>0.25</v>
      </c>
      <c r="H46" s="142" t="n"/>
    </row>
    <row r="47" ht="15" customHeight="1" s="104">
      <c r="A47" s="116" t="n"/>
      <c r="C47" s="170" t="n"/>
      <c r="D47" s="167" t="inlineStr">
        <is>
          <t>Total Current Required on +3.3V Rail</t>
        </is>
      </c>
      <c r="E47" s="168" t="n"/>
      <c r="F47" s="169" t="n"/>
      <c r="G47" s="136">
        <f>G45*(1+G46)</f>
        <v/>
      </c>
      <c r="H47" s="136" t="inlineStr">
        <is>
          <t>mA</t>
        </is>
      </c>
    </row>
    <row r="48" ht="48" customHeight="1" s="104">
      <c r="A48" s="144" t="n"/>
      <c r="C48" s="171" t="n"/>
      <c r="D48" s="103" t="n"/>
      <c r="E48" s="103" t="n"/>
      <c r="G48" s="172" t="n"/>
      <c r="H48" s="108" t="n"/>
    </row>
    <row r="49" ht="15" customHeight="1" s="104">
      <c r="A49" s="173" t="inlineStr">
        <is>
          <t>Regulator</t>
        </is>
      </c>
      <c r="B49" s="193" t="inlineStr">
        <is>
          <t xml:space="preserve"> +3.3V LDO on Curiosity Nano</t>
        </is>
      </c>
      <c r="C49" s="193" t="inlineStr">
        <is>
          <t>Microchip MIC5353</t>
        </is>
      </c>
      <c r="D49" s="174" t="inlineStr">
        <is>
          <t>+2.6 - 6V in</t>
        </is>
      </c>
      <c r="E49" s="174" t="n">
        <v>1</v>
      </c>
      <c r="F49" s="174" t="n">
        <v>500</v>
      </c>
      <c r="G49" s="174">
        <f>E49*F49</f>
        <v/>
      </c>
      <c r="H49" s="174" t="inlineStr">
        <is>
          <t>mA</t>
        </is>
      </c>
    </row>
    <row r="50" ht="15" customHeight="1" s="104">
      <c r="B50" s="160" t="inlineStr">
        <is>
          <t>Total Remaining Current Available on 3.3V Rail</t>
        </is>
      </c>
      <c r="C50" s="153" t="n"/>
      <c r="D50" s="153" t="n"/>
      <c r="E50" s="153" t="n"/>
      <c r="F50" s="154" t="n"/>
      <c r="G50" s="136">
        <f>G49-G47</f>
        <v/>
      </c>
      <c r="H50" s="136" t="inlineStr">
        <is>
          <t>mA</t>
        </is>
      </c>
    </row>
    <row r="51" ht="15" customHeight="1" s="104">
      <c r="A51" s="175" t="n"/>
      <c r="B51" s="175" t="n"/>
      <c r="C51" s="175" t="n"/>
      <c r="D51" s="175" t="n"/>
      <c r="E51" s="175" t="n"/>
      <c r="F51" s="176" t="n"/>
      <c r="G51" s="177" t="n"/>
      <c r="H51" s="178" t="n"/>
    </row>
    <row r="52" ht="15" customHeight="1" s="104">
      <c r="A52" s="179" t="inlineStr">
        <is>
          <t>External Power Source 1</t>
        </is>
      </c>
      <c r="B52" s="181" t="inlineStr">
        <is>
          <t>Component Name</t>
        </is>
      </c>
      <c r="C52" s="181" t="inlineStr">
        <is>
          <t>Part Number</t>
        </is>
      </c>
      <c r="D52" s="181" t="inlineStr">
        <is>
          <t>Supply
Voltage
Range</t>
        </is>
      </c>
      <c r="E52" s="181" t="inlineStr">
        <is>
          <t>Output Voltage</t>
        </is>
      </c>
      <c r="F52" s="181" t="inlineStr">
        <is>
          <t>Absolute
Maximum
Current (mA)</t>
        </is>
      </c>
      <c r="G52" s="181" t="inlineStr">
        <is>
          <t>Total
Current
(mA)</t>
        </is>
      </c>
      <c r="H52" s="182" t="inlineStr">
        <is>
          <t>Unit</t>
        </is>
      </c>
    </row>
    <row r="53" ht="32.25" customHeight="1" s="104">
      <c r="A53" s="183" t="inlineStr">
        <is>
          <t>Power Source 1 Selection</t>
        </is>
      </c>
      <c r="B53" s="184" t="inlineStr">
        <is>
          <t>Plug-in wall adapter, regulated</t>
        </is>
      </c>
      <c r="C53" s="185" t="inlineStr">
        <is>
          <t>Adafruit #63 (9V 1000mA)</t>
        </is>
      </c>
      <c r="D53" s="136" t="inlineStr">
        <is>
          <t>100-240VAC</t>
        </is>
      </c>
      <c r="E53" s="136" t="inlineStr">
        <is>
          <t>+9V</t>
        </is>
      </c>
      <c r="F53" s="136" t="n">
        <v>1000</v>
      </c>
      <c r="G53" s="136" t="n">
        <v>1000</v>
      </c>
      <c r="H53" s="186" t="inlineStr">
        <is>
          <t>mA</t>
        </is>
      </c>
    </row>
    <row r="54" ht="15" customHeight="1" s="104">
      <c r="A54" s="187" t="n"/>
      <c r="B54" s="188" t="n"/>
      <c r="C54" s="188" t="n"/>
      <c r="D54" s="123" t="n"/>
      <c r="E54" s="123" t="n"/>
      <c r="F54" s="123" t="n"/>
      <c r="G54" s="123" t="n"/>
      <c r="H54" s="124" t="n"/>
    </row>
    <row r="55" ht="15" customHeight="1" s="104">
      <c r="A55" s="189" t="inlineStr">
        <is>
          <t>Power Rails Connected to External Power Source 1</t>
        </is>
      </c>
      <c r="B55" s="190" t="inlineStr">
        <is>
          <t>+5V regulator (draws +5V rail load)</t>
        </is>
      </c>
      <c r="C55" s="190" t="inlineStr">
        <is>
          <t>L7805CV</t>
        </is>
      </c>
      <c r="D55" s="123" t="inlineStr">
        <is>
          <t>+7 - 35V in</t>
        </is>
      </c>
      <c r="E55" s="123" t="n">
        <v>1</v>
      </c>
      <c r="F55" s="123">
        <f>G33</f>
        <v/>
      </c>
      <c r="G55" s="123">
        <f>E55*F55</f>
        <v/>
      </c>
      <c r="H55" s="124" t="inlineStr">
        <is>
          <t>mA</t>
        </is>
      </c>
    </row>
    <row r="56" ht="48" customHeight="1" s="104">
      <c r="A56" s="191" t="n"/>
      <c r="B56" s="188" t="n"/>
      <c r="C56" s="188" t="n"/>
      <c r="D56" s="123" t="n"/>
      <c r="E56" s="123" t="n"/>
      <c r="F56" s="123" t="n"/>
      <c r="G56" s="123" t="n"/>
      <c r="H56" s="124" t="n"/>
    </row>
    <row r="57" ht="15" customHeight="1" s="104">
      <c r="A57" s="192" t="n"/>
      <c r="B57" s="193" t="n"/>
      <c r="C57" s="194" t="n"/>
      <c r="D57" s="174" t="n"/>
      <c r="E57" s="174" t="n"/>
      <c r="F57" s="174" t="n"/>
      <c r="G57" s="174" t="n"/>
      <c r="H57" s="195" t="n"/>
    </row>
    <row r="58" ht="15" customHeight="1" s="104">
      <c r="A58" s="196" t="inlineStr">
        <is>
          <t>Total Remaining Current Available on External Power Source 1</t>
        </is>
      </c>
      <c r="B58" s="197" t="n"/>
      <c r="C58" s="197" t="n"/>
      <c r="D58" s="197" t="n"/>
      <c r="E58" s="197" t="n"/>
      <c r="F58" s="198" t="n"/>
      <c r="G58" s="199">
        <f>G53-SUM(G55:G57)</f>
        <v/>
      </c>
      <c r="H58" s="200" t="inlineStr">
        <is>
          <t>mA</t>
        </is>
      </c>
    </row>
    <row r="59" ht="15" customHeight="1" s="104">
      <c r="A59" s="201" t="n"/>
      <c r="B59" s="108" t="n"/>
      <c r="C59" s="108" t="n"/>
      <c r="D59" s="108" t="n"/>
      <c r="E59" s="108" t="n"/>
      <c r="F59" s="108" t="n"/>
      <c r="G59" s="202" t="n"/>
      <c r="H59" s="202" t="n"/>
    </row>
    <row r="60" ht="15" customHeight="1" s="104">
      <c r="A60" s="179" t="inlineStr">
        <is>
          <t>External Power Source 2: not used (Board B runs only from the 9V wall adapter)</t>
        </is>
      </c>
      <c r="B60" s="203" t="n"/>
      <c r="C60" s="203" t="n"/>
      <c r="D60" s="181" t="n"/>
      <c r="E60" s="181" t="n"/>
      <c r="F60" s="181" t="n"/>
      <c r="G60" s="181" t="n"/>
      <c r="H60" s="182" t="n"/>
    </row>
    <row r="61" ht="15" customHeight="1" s="104">
      <c r="A61" s="183" t="n"/>
      <c r="B61" s="204" t="n"/>
      <c r="C61" s="136" t="n"/>
      <c r="D61" s="136" t="n"/>
      <c r="E61" s="136" t="n"/>
      <c r="F61" s="136" t="n"/>
      <c r="G61" s="136" t="n"/>
      <c r="H61" s="186" t="n"/>
    </row>
    <row r="62" ht="15" customHeight="1" s="104">
      <c r="A62" s="187" t="n"/>
      <c r="B62" s="188" t="n"/>
      <c r="C62" s="188" t="n"/>
      <c r="D62" s="123" t="n"/>
      <c r="E62" s="123" t="n"/>
      <c r="F62" s="123" t="n"/>
      <c r="G62" s="123" t="n"/>
      <c r="H62" s="124" t="n"/>
    </row>
    <row r="63" ht="15" customHeight="1" s="104">
      <c r="A63" s="189" t="n"/>
      <c r="B63" s="188" t="n"/>
      <c r="C63" s="188" t="n"/>
      <c r="D63" s="123" t="n"/>
      <c r="E63" s="123" t="n"/>
      <c r="F63" s="123" t="n"/>
      <c r="G63" s="123" t="n"/>
      <c r="H63" s="124" t="n"/>
    </row>
    <row r="64" ht="15" customHeight="1" s="104">
      <c r="B64" s="188" t="n"/>
      <c r="C64" s="188" t="n"/>
      <c r="D64" s="123" t="n"/>
      <c r="E64" s="123" t="n"/>
      <c r="F64" s="123" t="n"/>
      <c r="G64" s="123" t="n"/>
      <c r="H64" s="124" t="n"/>
    </row>
    <row r="65" ht="47.25" customHeight="1" s="104">
      <c r="B65" s="138" t="n"/>
      <c r="C65" s="138" t="n"/>
      <c r="D65" s="139" t="n"/>
      <c r="E65" s="139" t="n"/>
      <c r="F65" s="139" t="n"/>
      <c r="G65" s="139" t="n"/>
      <c r="H65" s="205" t="n"/>
    </row>
    <row r="66" ht="15" customHeight="1" s="104">
      <c r="A66" s="206" t="n"/>
      <c r="B66" s="207" t="n"/>
      <c r="G66" s="199" t="n"/>
      <c r="H66" s="200" t="n"/>
    </row>
    <row r="67" ht="15" customHeight="1" s="104">
      <c r="A67" s="143" t="n"/>
      <c r="D67" s="107" t="n"/>
      <c r="E67" s="103" t="n"/>
    </row>
    <row r="68" ht="15" customHeight="1" s="104">
      <c r="A68" s="208" t="n"/>
      <c r="G68" s="209" t="n"/>
      <c r="H68" s="210" t="n"/>
    </row>
    <row r="69" ht="15" customHeight="1" s="104">
      <c r="A69" s="211" t="n"/>
      <c r="B69" s="212" t="n"/>
      <c r="C69" s="212" t="n"/>
      <c r="D69" s="213" t="n"/>
      <c r="E69" s="214" t="n"/>
      <c r="F69" s="213" t="n"/>
      <c r="G69" s="213" t="n"/>
      <c r="H69" s="215" t="n"/>
    </row>
    <row r="70" ht="15" customHeight="1" s="104">
      <c r="A70" s="216" t="n"/>
      <c r="B70" s="138" t="n"/>
      <c r="C70" s="138" t="n"/>
      <c r="D70" s="139" t="n"/>
      <c r="E70" s="139" t="n"/>
      <c r="F70" s="139" t="n"/>
      <c r="G70" s="139" t="n"/>
      <c r="H70" s="205" t="n"/>
    </row>
    <row r="71" ht="15" customHeight="1" s="104">
      <c r="A71" s="217" t="n"/>
      <c r="B71" s="218" t="n"/>
      <c r="C71" s="218" t="n"/>
      <c r="D71" s="219" t="n"/>
      <c r="E71" s="219" t="n"/>
      <c r="F71" s="220" t="n"/>
      <c r="G71" s="199" t="n"/>
      <c r="H71" s="200" t="n"/>
    </row>
    <row r="72" ht="15.75" customHeight="1" s="104">
      <c r="D72" s="103" t="n"/>
      <c r="E72" s="103" t="n"/>
      <c r="F72" s="178" t="n"/>
    </row>
    <row r="73" ht="15.75" customHeight="1" s="104">
      <c r="A73" s="221" t="inlineStr">
        <is>
          <t>Notes:</t>
        </is>
      </c>
      <c r="G73" s="222" t="n"/>
      <c r="H73" s="223" t="n"/>
    </row>
    <row r="74" ht="48" customHeight="1" s="104">
      <c r="A74" s="224" t="inlineStr">
        <is>
          <t>Absolute maximum currents: PIC18F57Q43 max current into VDD = 350 mA (datasheet 47.1); MIC5353 LDO = 500 mA; L7805CV = 1.5 A; MCP6004 IQ max 170 µA/amp; LM393 ICC max 2.5 mA; LEDs (3.3 - 2.0)/330 ≈ 4 mA each.</t>
        </is>
      </c>
      <c r="H74" s="225" t="n"/>
    </row>
    <row r="75" ht="48" customHeight="1" s="104">
      <c r="A75" s="226" t="inlineStr">
        <is>
          <t>Expected (typical) load is far lower: roughly 15-30 mA total, so the L7805 dissipates about (9 - 5) x 0.03 ≈ 0.12 W. At the worst-case 629 mA it would dissipate ≈ 2.5 W and need a heatsink.</t>
        </is>
      </c>
      <c r="B75" s="197" t="n"/>
      <c r="C75" s="197" t="n"/>
      <c r="D75" s="197" t="n"/>
      <c r="E75" s="197" t="n"/>
      <c r="F75" s="197" t="n"/>
      <c r="G75" s="197" t="n"/>
      <c r="H75" s="227" t="n"/>
    </row>
    <row r="76" ht="15.75" customHeight="1" s="104"/>
    <row r="77" ht="15.75" customHeight="1" s="104"/>
  </sheetData>
  <mergeCells count="14">
    <mergeCell ref="A7:H7"/>
    <mergeCell ref="D31:F31"/>
    <mergeCell ref="D46:F46"/>
    <mergeCell ref="D32:F32"/>
    <mergeCell ref="A55:A57"/>
    <mergeCell ref="A58:F58"/>
    <mergeCell ref="D45:F45"/>
    <mergeCell ref="B36:F36"/>
    <mergeCell ref="A1:H1"/>
    <mergeCell ref="A75:H75"/>
    <mergeCell ref="B50:F50"/>
    <mergeCell ref="D47:F47"/>
    <mergeCell ref="D33:F33"/>
    <mergeCell ref="A74:H74"/>
  </mergeCells>
  <conditionalFormatting sqref="G25:G26 G36:G37 G46">
    <cfRule type="cellIs" rank="0" priority="2" equalAverage="0" operator="lessThan" aboveAverage="0" dxfId="0" text="" percent="0" bottom="0">
      <formula>0</formula>
    </cfRule>
  </conditionalFormatting>
  <printOptions horizontalCentered="1" verticalCentered="0" headings="0" gridLines="0" gridLinesSet="1"/>
  <pageMargins left="0.25" right="0" top="0.5" bottom="0.5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2026-10-27T23:17:45Z</dcterms:created>
  <dcterms:modified xmlns:dcterms="http://purl.org/dc/terms/" xmlns:xsi="http://www.w3.org/2001/XMLSchema-instance" xsi:type="dcterms:W3CDTF">2026-10-27T23:18:16Z</dcterms:modified>
  <cp:lastModifiedBy>Kevin Nichols</cp:lastModifiedBy>
  <cp:revision>0</cp:revision>
  <cp:lastPrinted>2025-08-22T22:55:28Z</cp:lastPrinted>
</cp:coreProperties>
</file>