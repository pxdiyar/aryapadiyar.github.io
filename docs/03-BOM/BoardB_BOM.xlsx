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 B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<sst xmlns="http://schemas.openxmlformats.org/spreadsheetml/2006/main" count="190" uniqueCount="110">
  <si>
    <t xml:space="preserve">Arya Padiyar | Team 102 | Board B: Cap / Lid Sensing | Rev 3 BOM (sorted by vendor)</t>
  </si>
  <si>
    <t xml:space="preserve">Part / Description</t>
  </si>
  <si>
    <t xml:space="preserve">Qty on Board</t>
  </si>
  <si>
    <t xml:space="preserve">Qty to Order</t>
  </si>
  <si>
    <t xml:space="preserve">Unit Cost</t>
  </si>
  <si>
    <t xml:space="preserve">Total Cost</t>
  </si>
  <si>
    <t xml:space="preserve">Manufacturer</t>
  </si>
  <si>
    <t xml:space="preserve">Manufacturer #</t>
  </si>
  <si>
    <t xml:space="preserve">Source / Vendor</t>
  </si>
  <si>
    <t xml:space="preserve">Vendor Link</t>
  </si>
  <si>
    <t xml:space="preserve">Datasheet Link</t>
  </si>
  <si>
    <t xml:space="preserve">Schematic Reference Designators</t>
  </si>
  <si>
    <t xml:space="preserve">5 V linear regulator, 1.5 A, TO-220</t>
  </si>
  <si>
    <t xml:space="preserve">STMicroelectronics</t>
  </si>
  <si>
    <t xml:space="preserve">L7805CV</t>
  </si>
  <si>
    <t xml:space="preserve">Mouser</t>
  </si>
  <si>
    <t xml:space="preserve">https://www.mouser.com/ProductDetail/511-L7805CV</t>
  </si>
  <si>
    <t xml:space="preserve">https://www.st.com/resource/en/datasheet/l78.pdf</t>
  </si>
  <si>
    <t xml:space="preserve">U3</t>
  </si>
  <si>
    <t xml:space="preserve">Dual voltage comparator, DIP-8</t>
  </si>
  <si>
    <t xml:space="preserve">Texas Instruments</t>
  </si>
  <si>
    <t xml:space="preserve">LM393P</t>
  </si>
  <si>
    <t xml:space="preserve">https://www.mouser.com/ProductDetail/595-LM393P</t>
  </si>
  <si>
    <t xml:space="preserve">https://www.ti.com/lit/ds/symlink/lm393.pdf</t>
  </si>
  <si>
    <t xml:space="preserve">U5</t>
  </si>
  <si>
    <t xml:space="preserve">CdS photoresistor, 5 mm ceramic (light-lab part)</t>
  </si>
  <si>
    <t xml:space="preserve">Advanced Photonix</t>
  </si>
  <si>
    <t xml:space="preserve">PDV-P8001</t>
  </si>
  <si>
    <t xml:space="preserve">https://www.mouser.com/ProductDetail/846-PDV-P8001</t>
  </si>
  <si>
    <t xml:space="preserve">https://faculty-web.msoe.edu/prust/EE2920/EE2920Resources/PDV-P8001.pdf</t>
  </si>
  <si>
    <t xml:space="preserve">R18</t>
  </si>
  <si>
    <t xml:space="preserve">9 V 1 A regulated wall adapter, 5.5/2.1 mm plug</t>
  </si>
  <si>
    <t xml:space="preserve">Adafruit</t>
  </si>
  <si>
    <t xml:space="preserve">63</t>
  </si>
  <si>
    <t xml:space="preserve">https://www.adafruit.com/product/63</t>
  </si>
  <si>
    <t xml:space="preserve">(plugs into J2)</t>
  </si>
  <si>
    <t xml:space="preserve">Microcontroller board, PIC18F57Q43 Curiosity Nano</t>
  </si>
  <si>
    <t xml:space="preserve">Microchip</t>
  </si>
  <si>
    <t xml:space="preserve">DM164150</t>
  </si>
  <si>
    <t xml:space="preserve">Course kit</t>
  </si>
  <si>
    <t xml:space="preserve">https://www.microchip.com/en-us/development-tool/DM164150</t>
  </si>
  <si>
    <t xml:space="preserve">U1</t>
  </si>
  <si>
    <t xml:space="preserve">Quad op-amp, rail-to-rail, DIP-14</t>
  </si>
  <si>
    <t xml:space="preserve">MCP6004-I/P</t>
  </si>
  <si>
    <t xml:space="preserve">Peralta 109 stock</t>
  </si>
  <si>
    <t xml:space="preserve">https://www.mouser.com/c/?q=MCP6004-I%2FP</t>
  </si>
  <si>
    <t xml:space="preserve">https://www.microchip.com/en-us/product/MCP6004</t>
  </si>
  <si>
    <t xml:space="preserve">U2</t>
  </si>
  <si>
    <t xml:space="preserve">DC barrel jack, 5.5/2.1 mm</t>
  </si>
  <si>
    <t xml:space="preserve">Same Sky</t>
  </si>
  <si>
    <t xml:space="preserve">PJ-102AH</t>
  </si>
  <si>
    <t xml:space="preserve">J2</t>
  </si>
  <si>
    <t xml:space="preserve">Fuse, 500 mA 250 V slow-blow, TR5 + socket</t>
  </si>
  <si>
    <t xml:space="preserve">Littelfuse</t>
  </si>
  <si>
    <t xml:space="preserve">TR5 series</t>
  </si>
  <si>
    <t xml:space="preserve">F1</t>
  </si>
  <si>
    <t xml:space="preserve">Schottky diode, 40 V 1 A, DO-41</t>
  </si>
  <si>
    <t xml:space="preserve">—</t>
  </si>
  <si>
    <t xml:space="preserve">1N5819</t>
  </si>
  <si>
    <t xml:space="preserve">D1</t>
  </si>
  <si>
    <t xml:space="preserve">LED, green (power good), 0805</t>
  </si>
  <si>
    <t xml:space="preserve">D2</t>
  </si>
  <si>
    <t xml:space="preserve">LED, yellow (heartbeat), 0805</t>
  </si>
  <si>
    <t xml:space="preserve">D3</t>
  </si>
  <si>
    <t xml:space="preserve">LED, red (lid status), 0805</t>
  </si>
  <si>
    <t xml:space="preserve">D4</t>
  </si>
  <si>
    <t xml:space="preserve">Capacitor 0.1 µF 16 V, 0805</t>
  </si>
  <si>
    <t xml:space="preserve">C2, C4, C5, C6, C8, C9, C10, C11</t>
  </si>
  <si>
    <t xml:space="preserve">Capacitor 0.33 µF 25 V, 0805</t>
  </si>
  <si>
    <t xml:space="preserve">C1</t>
  </si>
  <si>
    <t xml:space="preserve">Capacitor 1 µF 16 V, 0805</t>
  </si>
  <si>
    <t xml:space="preserve">C7</t>
  </si>
  <si>
    <t xml:space="preserve">Electrolytic capacitor 10 µF 25 V, radial 5 mm</t>
  </si>
  <si>
    <t xml:space="preserve">C3</t>
  </si>
  <si>
    <t xml:space="preserve">Resistor 10 kΩ 1/8 W, 0805</t>
  </si>
  <si>
    <t xml:space="preserve">R2, R4, R6, R9, R11, R13, R14, R15, R16, R17</t>
  </si>
  <si>
    <t xml:space="preserve">Resistor 3.9 kΩ 1/8 W, 0805 (LDR divider)</t>
  </si>
  <si>
    <t xml:space="preserve">R19</t>
  </si>
  <si>
    <t xml:space="preserve">Resistor 3.3 kΩ 1/8 W, 0805 (gain)</t>
  </si>
  <si>
    <t xml:space="preserve">R3</t>
  </si>
  <si>
    <t xml:space="preserve">Resistor 120 kΩ 1/8 W, 0805 (VREF)</t>
  </si>
  <si>
    <t xml:space="preserve">R8</t>
  </si>
  <si>
    <t xml:space="preserve">Resistor 51 kΩ 1/8 W, 0805 (threshold)</t>
  </si>
  <si>
    <t xml:space="preserve">R10</t>
  </si>
  <si>
    <t xml:space="preserve">Resistor 470 kΩ 1/8 W, 0805 (hysteresis)</t>
  </si>
  <si>
    <t xml:space="preserve">R12</t>
  </si>
  <si>
    <t xml:space="preserve">Resistor 1 kΩ 1/8 W, 0805</t>
  </si>
  <si>
    <t xml:space="preserve">R1</t>
  </si>
  <si>
    <t xml:space="preserve">Resistor 330 Ω 1/8 W, 0805</t>
  </si>
  <si>
    <t xml:space="preserve">R5, R7</t>
  </si>
  <si>
    <t xml:space="preserve">Tactile push button, 6 mm THT</t>
  </si>
  <si>
    <t xml:space="preserve">SW1</t>
  </si>
  <si>
    <t xml:space="preserve">IDC header 2×4, 2.54 mm (ribbon to hub)</t>
  </si>
  <si>
    <t xml:space="preserve">J1</t>
  </si>
  <si>
    <t xml:space="preserve">Pin header 1×4, 2.54 mm</t>
  </si>
  <si>
    <t xml:space="preserve">J3</t>
  </si>
  <si>
    <t xml:space="preserve">Pin header 1×3, 2.54 mm (remote LDR)</t>
  </si>
  <si>
    <t xml:space="preserve">J4</t>
  </si>
  <si>
    <t xml:space="preserve">Pin header 1×8, 2.54 mm (expansion)</t>
  </si>
  <si>
    <t xml:space="preserve">J5, J6, J7</t>
  </si>
  <si>
    <t xml:space="preserve">Pin header 1×2 + jumper shunt</t>
  </si>
  <si>
    <t xml:space="preserve">JP1, JP2, JP3</t>
  </si>
  <si>
    <t xml:space="preserve">Test point, THT pad 2.0 mm</t>
  </si>
  <si>
    <t xml:space="preserve">TP1–TP9</t>
  </si>
  <si>
    <t xml:space="preserve">IC socket, DIP-8 (for U5 on the PCB)</t>
  </si>
  <si>
    <t xml:space="preserve">U5 socket</t>
  </si>
  <si>
    <t xml:space="preserve">IC socket, DIP-14 (for U2 on the PCB)</t>
  </si>
  <si>
    <t xml:space="preserve">U2 socket</t>
  </si>
  <si>
    <t xml:space="preserve">Total to order</t>
  </si>
  <si>
    <t xml:space="preserve">Unit costs: Mouser / Adafruit qty-1 prices checked Oct 29, 2026. Blank costs = Peralta 109 stock or course kit (not ordered).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</si>
</sst>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C1D4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C1D4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9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0" min="9" style="0" width="44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3" t="n">
        <v>1</v>
      </c>
      <c r="C3" s="3" t="n">
        <v>3</v>
      </c>
      <c r="D3" s="4" t="n">
        <v>1.08</v>
      </c>
      <c r="E3" s="4" t="n">
        <f aca="false">C3*D3</f>
        <v>3.24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</row>
    <row r="4" customFormat="false" ht="15" hidden="false" customHeight="false" outlineLevel="0" collapsed="false">
      <c r="A4" s="3" t="s">
        <v>19</v>
      </c>
      <c r="B4" s="3" t="n">
        <v>1</v>
      </c>
      <c r="C4" s="3" t="n">
        <v>4</v>
      </c>
      <c r="D4" s="4" t="n">
        <v>0.53</v>
      </c>
      <c r="E4" s="4" t="n">
        <f aca="false">C4*D4</f>
        <v>2.12</v>
      </c>
      <c r="F4" s="3" t="s">
        <v>20</v>
      </c>
      <c r="G4" s="3" t="s">
        <v>21</v>
      </c>
      <c r="H4" s="3" t="s">
        <v>15</v>
      </c>
      <c r="I4" s="3" t="s">
        <v>22</v>
      </c>
      <c r="J4" s="3" t="s">
        <v>23</v>
      </c>
      <c r="K4" s="3" t="s">
        <v>24</v>
      </c>
    </row>
    <row r="5" customFormat="false" ht="15" hidden="false" customHeight="false" outlineLevel="0" collapsed="false">
      <c r="A5" s="3" t="s">
        <v>25</v>
      </c>
      <c r="B5" s="3" t="n">
        <v>1</v>
      </c>
      <c r="C5" s="3" t="n">
        <v>4</v>
      </c>
      <c r="D5" s="4" t="n">
        <v>1.42</v>
      </c>
      <c r="E5" s="4" t="n">
        <f aca="false">C5*D5</f>
        <v>5.68</v>
      </c>
      <c r="F5" s="3" t="s">
        <v>26</v>
      </c>
      <c r="G5" s="3" t="s">
        <v>27</v>
      </c>
      <c r="H5" s="3" t="s">
        <v>15</v>
      </c>
      <c r="I5" s="3" t="s">
        <v>28</v>
      </c>
      <c r="J5" s="3" t="s">
        <v>29</v>
      </c>
      <c r="K5" s="3" t="s">
        <v>30</v>
      </c>
    </row>
    <row r="6" customFormat="false" ht="15" hidden="false" customHeight="false" outlineLevel="0" collapsed="false">
      <c r="A6" s="3" t="s">
        <v>31</v>
      </c>
      <c r="B6" s="3" t="n">
        <v>1</v>
      </c>
      <c r="C6" s="3" t="n">
        <v>1</v>
      </c>
      <c r="D6" s="4" t="n">
        <v>8.95</v>
      </c>
      <c r="E6" s="4" t="n">
        <f aca="false">C6*D6</f>
        <v>8.95</v>
      </c>
      <c r="F6" s="3" t="s">
        <v>32</v>
      </c>
      <c r="G6" s="3" t="s">
        <v>33</v>
      </c>
      <c r="H6" s="3" t="s">
        <v>32</v>
      </c>
      <c r="I6" s="3" t="s">
        <v>34</v>
      </c>
      <c r="J6" s="3"/>
      <c r="K6" s="3" t="s">
        <v>35</v>
      </c>
    </row>
    <row r="7" customFormat="false" ht="15" hidden="false" customHeight="false" outlineLevel="0" collapsed="false">
      <c r="A7" s="3" t="s">
        <v>36</v>
      </c>
      <c r="B7" s="3" t="n">
        <v>1</v>
      </c>
      <c r="C7" s="3"/>
      <c r="D7" s="4"/>
      <c r="E7" s="4"/>
      <c r="F7" s="3" t="s">
        <v>37</v>
      </c>
      <c r="G7" s="3" t="s">
        <v>38</v>
      </c>
      <c r="H7" s="3" t="s">
        <v>39</v>
      </c>
      <c r="I7" s="3" t="s">
        <v>40</v>
      </c>
      <c r="J7" s="3" t="s">
        <v>40</v>
      </c>
      <c r="K7" s="3" t="s">
        <v>41</v>
      </c>
    </row>
    <row r="8" customFormat="false" ht="15" hidden="false" customHeight="false" outlineLevel="0" collapsed="false">
      <c r="A8" s="3" t="s">
        <v>42</v>
      </c>
      <c r="B8" s="3" t="n">
        <v>1</v>
      </c>
      <c r="C8" s="3"/>
      <c r="D8" s="4"/>
      <c r="E8" s="4"/>
      <c r="F8" s="3" t="s">
        <v>37</v>
      </c>
      <c r="G8" s="3" t="s">
        <v>43</v>
      </c>
      <c r="H8" s="3" t="s">
        <v>44</v>
      </c>
      <c r="I8" s="3" t="s">
        <v>45</v>
      </c>
      <c r="J8" s="3" t="s">
        <v>46</v>
      </c>
      <c r="K8" s="3" t="s">
        <v>47</v>
      </c>
    </row>
    <row r="9" customFormat="false" ht="15" hidden="false" customHeight="false" outlineLevel="0" collapsed="false">
      <c r="A9" s="3" t="s">
        <v>48</v>
      </c>
      <c r="B9" s="3" t="n">
        <v>1</v>
      </c>
      <c r="C9" s="3"/>
      <c r="D9" s="4"/>
      <c r="E9" s="4"/>
      <c r="F9" s="3" t="s">
        <v>49</v>
      </c>
      <c r="G9" s="3" t="s">
        <v>50</v>
      </c>
      <c r="H9" s="3" t="s">
        <v>44</v>
      </c>
      <c r="I9" s="3"/>
      <c r="J9" s="3"/>
      <c r="K9" s="3" t="s">
        <v>51</v>
      </c>
    </row>
    <row r="10" customFormat="false" ht="15" hidden="false" customHeight="false" outlineLevel="0" collapsed="false">
      <c r="A10" s="3" t="s">
        <v>52</v>
      </c>
      <c r="B10" s="3" t="n">
        <v>1</v>
      </c>
      <c r="C10" s="3"/>
      <c r="D10" s="4"/>
      <c r="E10" s="4"/>
      <c r="F10" s="3" t="s">
        <v>53</v>
      </c>
      <c r="G10" s="3" t="s">
        <v>54</v>
      </c>
      <c r="H10" s="3" t="s">
        <v>44</v>
      </c>
      <c r="I10" s="3"/>
      <c r="J10" s="3"/>
      <c r="K10" s="3" t="s">
        <v>55</v>
      </c>
    </row>
    <row r="11" customFormat="false" ht="15" hidden="false" customHeight="false" outlineLevel="0" collapsed="false">
      <c r="A11" s="3" t="s">
        <v>56</v>
      </c>
      <c r="B11" s="3" t="n">
        <v>1</v>
      </c>
      <c r="C11" s="3"/>
      <c r="D11" s="4"/>
      <c r="E11" s="4"/>
      <c r="F11" s="3" t="s">
        <v>57</v>
      </c>
      <c r="G11" s="3" t="s">
        <v>58</v>
      </c>
      <c r="H11" s="3" t="s">
        <v>44</v>
      </c>
      <c r="I11" s="3"/>
      <c r="J11" s="3"/>
      <c r="K11" s="3" t="s">
        <v>59</v>
      </c>
    </row>
    <row r="12" customFormat="false" ht="15" hidden="false" customHeight="false" outlineLevel="0" collapsed="false">
      <c r="A12" s="3" t="s">
        <v>60</v>
      </c>
      <c r="B12" s="3" t="n">
        <v>1</v>
      </c>
      <c r="C12" s="3"/>
      <c r="D12" s="4"/>
      <c r="E12" s="4"/>
      <c r="F12" s="3" t="s">
        <v>57</v>
      </c>
      <c r="G12" s="3" t="s">
        <v>57</v>
      </c>
      <c r="H12" s="3" t="s">
        <v>44</v>
      </c>
      <c r="I12" s="3"/>
      <c r="J12" s="3"/>
      <c r="K12" s="3" t="s">
        <v>61</v>
      </c>
    </row>
    <row r="13" customFormat="false" ht="15" hidden="false" customHeight="false" outlineLevel="0" collapsed="false">
      <c r="A13" s="3" t="s">
        <v>62</v>
      </c>
      <c r="B13" s="3" t="n">
        <v>1</v>
      </c>
      <c r="C13" s="3"/>
      <c r="D13" s="4"/>
      <c r="E13" s="4"/>
      <c r="F13" s="3" t="s">
        <v>57</v>
      </c>
      <c r="G13" s="3" t="s">
        <v>57</v>
      </c>
      <c r="H13" s="3" t="s">
        <v>44</v>
      </c>
      <c r="I13" s="3"/>
      <c r="J13" s="3"/>
      <c r="K13" s="3" t="s">
        <v>63</v>
      </c>
    </row>
    <row r="14" customFormat="false" ht="15" hidden="false" customHeight="false" outlineLevel="0" collapsed="false">
      <c r="A14" s="3" t="s">
        <v>64</v>
      </c>
      <c r="B14" s="3" t="n">
        <v>1</v>
      </c>
      <c r="C14" s="3"/>
      <c r="D14" s="4"/>
      <c r="E14" s="4"/>
      <c r="F14" s="3" t="s">
        <v>57</v>
      </c>
      <c r="G14" s="3" t="s">
        <v>57</v>
      </c>
      <c r="H14" s="3" t="s">
        <v>44</v>
      </c>
      <c r="I14" s="3"/>
      <c r="J14" s="3"/>
      <c r="K14" s="3" t="s">
        <v>65</v>
      </c>
    </row>
    <row r="15" customFormat="false" ht="15" hidden="false" customHeight="false" outlineLevel="0" collapsed="false">
      <c r="A15" s="3" t="s">
        <v>66</v>
      </c>
      <c r="B15" s="3" t="n">
        <v>8</v>
      </c>
      <c r="C15" s="3"/>
      <c r="D15" s="4"/>
      <c r="E15" s="4"/>
      <c r="F15" s="3" t="s">
        <v>57</v>
      </c>
      <c r="G15" s="3" t="s">
        <v>57</v>
      </c>
      <c r="H15" s="3" t="s">
        <v>44</v>
      </c>
      <c r="I15" s="3"/>
      <c r="J15" s="3"/>
      <c r="K15" s="3" t="s">
        <v>67</v>
      </c>
    </row>
    <row r="16" customFormat="false" ht="15" hidden="false" customHeight="false" outlineLevel="0" collapsed="false">
      <c r="A16" s="3" t="s">
        <v>68</v>
      </c>
      <c r="B16" s="3" t="n">
        <v>1</v>
      </c>
      <c r="C16" s="3"/>
      <c r="D16" s="4"/>
      <c r="E16" s="4"/>
      <c r="F16" s="3" t="s">
        <v>57</v>
      </c>
      <c r="G16" s="3" t="s">
        <v>57</v>
      </c>
      <c r="H16" s="3" t="s">
        <v>44</v>
      </c>
      <c r="I16" s="3"/>
      <c r="J16" s="3"/>
      <c r="K16" s="3" t="s">
        <v>69</v>
      </c>
    </row>
    <row r="17" customFormat="false" ht="15" hidden="false" customHeight="false" outlineLevel="0" collapsed="false">
      <c r="A17" s="3" t="s">
        <v>70</v>
      </c>
      <c r="B17" s="3" t="n">
        <v>1</v>
      </c>
      <c r="C17" s="3"/>
      <c r="D17" s="4"/>
      <c r="E17" s="4"/>
      <c r="F17" s="3" t="s">
        <v>57</v>
      </c>
      <c r="G17" s="3" t="s">
        <v>57</v>
      </c>
      <c r="H17" s="3" t="s">
        <v>44</v>
      </c>
      <c r="I17" s="3"/>
      <c r="J17" s="3"/>
      <c r="K17" s="3" t="s">
        <v>71</v>
      </c>
    </row>
    <row r="18" customFormat="false" ht="15" hidden="false" customHeight="false" outlineLevel="0" collapsed="false">
      <c r="A18" s="3" t="s">
        <v>72</v>
      </c>
      <c r="B18" s="3" t="n">
        <v>1</v>
      </c>
      <c r="C18" s="3"/>
      <c r="D18" s="4"/>
      <c r="E18" s="4"/>
      <c r="F18" s="3" t="s">
        <v>57</v>
      </c>
      <c r="G18" s="3" t="s">
        <v>57</v>
      </c>
      <c r="H18" s="3" t="s">
        <v>44</v>
      </c>
      <c r="I18" s="3"/>
      <c r="J18" s="3"/>
      <c r="K18" s="3" t="s">
        <v>73</v>
      </c>
    </row>
    <row r="19" customFormat="false" ht="15" hidden="false" customHeight="false" outlineLevel="0" collapsed="false">
      <c r="A19" s="3" t="s">
        <v>74</v>
      </c>
      <c r="B19" s="3" t="n">
        <v>10</v>
      </c>
      <c r="C19" s="3"/>
      <c r="D19" s="4"/>
      <c r="E19" s="4"/>
      <c r="F19" s="3" t="s">
        <v>57</v>
      </c>
      <c r="G19" s="3" t="s">
        <v>57</v>
      </c>
      <c r="H19" s="3" t="s">
        <v>44</v>
      </c>
      <c r="I19" s="3"/>
      <c r="J19" s="3"/>
      <c r="K19" s="3" t="s">
        <v>75</v>
      </c>
    </row>
    <row r="20" customFormat="false" ht="15" hidden="false" customHeight="false" outlineLevel="0" collapsed="false">
      <c r="A20" s="3" t="s">
        <v>76</v>
      </c>
      <c r="B20" s="3" t="n">
        <v>1</v>
      </c>
      <c r="C20" s="3"/>
      <c r="D20" s="4"/>
      <c r="E20" s="4"/>
      <c r="F20" s="3" t="s">
        <v>57</v>
      </c>
      <c r="G20" s="3" t="s">
        <v>57</v>
      </c>
      <c r="H20" s="3" t="s">
        <v>44</v>
      </c>
      <c r="I20" s="3"/>
      <c r="J20" s="3"/>
      <c r="K20" s="3" t="s">
        <v>77</v>
      </c>
    </row>
    <row r="21" customFormat="false" ht="15" hidden="false" customHeight="false" outlineLevel="0" collapsed="false">
      <c r="A21" s="3" t="s">
        <v>78</v>
      </c>
      <c r="B21" s="3" t="n">
        <v>1</v>
      </c>
      <c r="C21" s="3"/>
      <c r="D21" s="4"/>
      <c r="E21" s="4"/>
      <c r="F21" s="3" t="s">
        <v>57</v>
      </c>
      <c r="G21" s="3" t="s">
        <v>57</v>
      </c>
      <c r="H21" s="3" t="s">
        <v>44</v>
      </c>
      <c r="I21" s="3"/>
      <c r="J21" s="3"/>
      <c r="K21" s="3" t="s">
        <v>79</v>
      </c>
    </row>
    <row r="22" customFormat="false" ht="15" hidden="false" customHeight="false" outlineLevel="0" collapsed="false">
      <c r="A22" s="3" t="s">
        <v>80</v>
      </c>
      <c r="B22" s="3" t="n">
        <v>1</v>
      </c>
      <c r="C22" s="3"/>
      <c r="D22" s="4"/>
      <c r="E22" s="4"/>
      <c r="F22" s="3" t="s">
        <v>57</v>
      </c>
      <c r="G22" s="3" t="s">
        <v>57</v>
      </c>
      <c r="H22" s="3" t="s">
        <v>44</v>
      </c>
      <c r="I22" s="3"/>
      <c r="J22" s="3"/>
      <c r="K22" s="3" t="s">
        <v>81</v>
      </c>
    </row>
    <row r="23" customFormat="false" ht="15" hidden="false" customHeight="false" outlineLevel="0" collapsed="false">
      <c r="A23" s="3" t="s">
        <v>82</v>
      </c>
      <c r="B23" s="3" t="n">
        <v>1</v>
      </c>
      <c r="C23" s="3"/>
      <c r="D23" s="4"/>
      <c r="E23" s="4"/>
      <c r="F23" s="3" t="s">
        <v>57</v>
      </c>
      <c r="G23" s="3" t="s">
        <v>57</v>
      </c>
      <c r="H23" s="3" t="s">
        <v>44</v>
      </c>
      <c r="I23" s="3"/>
      <c r="J23" s="3"/>
      <c r="K23" s="3" t="s">
        <v>83</v>
      </c>
    </row>
    <row r="24" customFormat="false" ht="15" hidden="false" customHeight="false" outlineLevel="0" collapsed="false">
      <c r="A24" s="3" t="s">
        <v>84</v>
      </c>
      <c r="B24" s="3" t="n">
        <v>1</v>
      </c>
      <c r="C24" s="3"/>
      <c r="D24" s="4"/>
      <c r="E24" s="4"/>
      <c r="F24" s="3" t="s">
        <v>57</v>
      </c>
      <c r="G24" s="3" t="s">
        <v>57</v>
      </c>
      <c r="H24" s="3" t="s">
        <v>44</v>
      </c>
      <c r="I24" s="3"/>
      <c r="J24" s="3"/>
      <c r="K24" s="3" t="s">
        <v>85</v>
      </c>
    </row>
    <row r="25" customFormat="false" ht="15" hidden="false" customHeight="false" outlineLevel="0" collapsed="false">
      <c r="A25" s="3" t="s">
        <v>86</v>
      </c>
      <c r="B25" s="3" t="n">
        <v>1</v>
      </c>
      <c r="C25" s="3"/>
      <c r="D25" s="4"/>
      <c r="E25" s="4"/>
      <c r="F25" s="3" t="s">
        <v>57</v>
      </c>
      <c r="G25" s="3" t="s">
        <v>57</v>
      </c>
      <c r="H25" s="3" t="s">
        <v>44</v>
      </c>
      <c r="I25" s="3"/>
      <c r="J25" s="3"/>
      <c r="K25" s="3" t="s">
        <v>87</v>
      </c>
    </row>
    <row r="26" customFormat="false" ht="15" hidden="false" customHeight="false" outlineLevel="0" collapsed="false">
      <c r="A26" s="3" t="s">
        <v>88</v>
      </c>
      <c r="B26" s="3" t="n">
        <v>2</v>
      </c>
      <c r="C26" s="3"/>
      <c r="D26" s="4"/>
      <c r="E26" s="4"/>
      <c r="F26" s="3" t="s">
        <v>57</v>
      </c>
      <c r="G26" s="3" t="s">
        <v>57</v>
      </c>
      <c r="H26" s="3" t="s">
        <v>44</v>
      </c>
      <c r="I26" s="3"/>
      <c r="J26" s="3"/>
      <c r="K26" s="3" t="s">
        <v>89</v>
      </c>
    </row>
    <row r="27" customFormat="false" ht="15" hidden="false" customHeight="false" outlineLevel="0" collapsed="false">
      <c r="A27" s="3" t="s">
        <v>90</v>
      </c>
      <c r="B27" s="3" t="n">
        <v>1</v>
      </c>
      <c r="C27" s="3"/>
      <c r="D27" s="4"/>
      <c r="E27" s="4"/>
      <c r="F27" s="3" t="s">
        <v>57</v>
      </c>
      <c r="G27" s="3" t="s">
        <v>57</v>
      </c>
      <c r="H27" s="3" t="s">
        <v>44</v>
      </c>
      <c r="I27" s="3"/>
      <c r="J27" s="3"/>
      <c r="K27" s="3" t="s">
        <v>91</v>
      </c>
    </row>
    <row r="28" customFormat="false" ht="15" hidden="false" customHeight="false" outlineLevel="0" collapsed="false">
      <c r="A28" s="3" t="s">
        <v>92</v>
      </c>
      <c r="B28" s="3" t="n">
        <v>1</v>
      </c>
      <c r="C28" s="3"/>
      <c r="D28" s="4"/>
      <c r="E28" s="4"/>
      <c r="F28" s="3" t="s">
        <v>57</v>
      </c>
      <c r="G28" s="3" t="s">
        <v>57</v>
      </c>
      <c r="H28" s="3" t="s">
        <v>44</v>
      </c>
      <c r="I28" s="3"/>
      <c r="J28" s="3"/>
      <c r="K28" s="3" t="s">
        <v>93</v>
      </c>
    </row>
    <row r="29" customFormat="false" ht="15" hidden="false" customHeight="false" outlineLevel="0" collapsed="false">
      <c r="A29" s="3" t="s">
        <v>94</v>
      </c>
      <c r="B29" s="3" t="n">
        <v>1</v>
      </c>
      <c r="C29" s="3"/>
      <c r="D29" s="4"/>
      <c r="E29" s="4"/>
      <c r="F29" s="3" t="s">
        <v>57</v>
      </c>
      <c r="G29" s="3" t="s">
        <v>57</v>
      </c>
      <c r="H29" s="3" t="s">
        <v>44</v>
      </c>
      <c r="I29" s="3"/>
      <c r="J29" s="3"/>
      <c r="K29" s="3" t="s">
        <v>95</v>
      </c>
    </row>
    <row r="30" customFormat="false" ht="15" hidden="false" customHeight="false" outlineLevel="0" collapsed="false">
      <c r="A30" s="3" t="s">
        <v>96</v>
      </c>
      <c r="B30" s="3" t="n">
        <v>1</v>
      </c>
      <c r="C30" s="3"/>
      <c r="D30" s="4"/>
      <c r="E30" s="4"/>
      <c r="F30" s="3" t="s">
        <v>57</v>
      </c>
      <c r="G30" s="3" t="s">
        <v>57</v>
      </c>
      <c r="H30" s="3" t="s">
        <v>44</v>
      </c>
      <c r="I30" s="3"/>
      <c r="J30" s="3"/>
      <c r="K30" s="3" t="s">
        <v>97</v>
      </c>
    </row>
    <row r="31" customFormat="false" ht="15" hidden="false" customHeight="false" outlineLevel="0" collapsed="false">
      <c r="A31" s="3" t="s">
        <v>98</v>
      </c>
      <c r="B31" s="3" t="n">
        <v>3</v>
      </c>
      <c r="C31" s="3"/>
      <c r="D31" s="4"/>
      <c r="E31" s="4"/>
      <c r="F31" s="3" t="s">
        <v>57</v>
      </c>
      <c r="G31" s="3" t="s">
        <v>57</v>
      </c>
      <c r="H31" s="3" t="s">
        <v>44</v>
      </c>
      <c r="I31" s="3"/>
      <c r="J31" s="3"/>
      <c r="K31" s="3" t="s">
        <v>99</v>
      </c>
    </row>
    <row r="32" customFormat="false" ht="15" hidden="false" customHeight="false" outlineLevel="0" collapsed="false">
      <c r="A32" s="3" t="s">
        <v>100</v>
      </c>
      <c r="B32" s="3" t="n">
        <v>3</v>
      </c>
      <c r="C32" s="3"/>
      <c r="D32" s="4"/>
      <c r="E32" s="4"/>
      <c r="F32" s="3" t="s">
        <v>57</v>
      </c>
      <c r="G32" s="3" t="s">
        <v>57</v>
      </c>
      <c r="H32" s="3" t="s">
        <v>44</v>
      </c>
      <c r="I32" s="3"/>
      <c r="J32" s="3"/>
      <c r="K32" s="3" t="s">
        <v>101</v>
      </c>
    </row>
    <row r="33" customFormat="false" ht="15" hidden="false" customHeight="false" outlineLevel="0" collapsed="false">
      <c r="A33" s="3" t="s">
        <v>102</v>
      </c>
      <c r="B33" s="3" t="n">
        <v>9</v>
      </c>
      <c r="C33" s="3"/>
      <c r="D33" s="4"/>
      <c r="E33" s="4"/>
      <c r="F33" s="3" t="s">
        <v>57</v>
      </c>
      <c r="G33" s="3" t="s">
        <v>57</v>
      </c>
      <c r="H33" s="3" t="s">
        <v>44</v>
      </c>
      <c r="I33" s="3"/>
      <c r="J33" s="3"/>
      <c r="K33" s="3" t="s">
        <v>103</v>
      </c>
    </row>
    <row r="34" customFormat="false" ht="15" hidden="false" customHeight="false" outlineLevel="0" collapsed="false">
      <c r="A34" s="3" t="s">
        <v>104</v>
      </c>
      <c r="B34" s="3" t="n">
        <v>1</v>
      </c>
      <c r="C34" s="3"/>
      <c r="D34" s="4"/>
      <c r="E34" s="4"/>
      <c r="F34" s="3" t="s">
        <v>57</v>
      </c>
      <c r="G34" s="3" t="s">
        <v>57</v>
      </c>
      <c r="H34" s="3" t="s">
        <v>44</v>
      </c>
      <c r="I34" s="3"/>
      <c r="J34" s="3"/>
      <c r="K34" s="3" t="s">
        <v>105</v>
      </c>
    </row>
    <row r="35" customFormat="false" ht="15" hidden="false" customHeight="false" outlineLevel="0" collapsed="false">
      <c r="A35" s="3" t="s">
        <v>106</v>
      </c>
      <c r="B35" s="3" t="n">
        <v>1</v>
      </c>
      <c r="C35" s="3"/>
      <c r="D35" s="4"/>
      <c r="E35" s="4"/>
      <c r="F35" s="3" t="s">
        <v>57</v>
      </c>
      <c r="G35" s="3" t="s">
        <v>57</v>
      </c>
      <c r="H35" s="3" t="s">
        <v>44</v>
      </c>
      <c r="I35" s="3"/>
      <c r="J35" s="3"/>
      <c r="K35" s="3" t="s">
        <v>107</v>
      </c>
    </row>
    <row r="36" customFormat="false" ht="15" hidden="false" customHeight="false" outlineLevel="0" collapsed="false">
      <c r="D36" s="5" t="s">
        <v>108</v>
      </c>
      <c r="E36" s="6" t="n">
        <f aca="false">SUM(E3:E35)</f>
        <v>19.99</v>
      </c>
    </row>
    <row r="38" customFormat="false" ht="15" hidden="false" customHeight="false" outlineLevel="0" collapsed="false">
      <c r="A38" s="7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2026-10-29T23:29:33Z</dcterms:created>
  <dc:creator>openpyxl</dc:creator>
  <dc:description/>
  <dc:language>en-US</dc:language>
  <cp:lastModifiedBy/>
  <dcterms:modified xsi:type="dcterms:W3CDTF">2026-10-29T23:29:33Z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